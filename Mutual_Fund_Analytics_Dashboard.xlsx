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esktop\"/>
    </mc:Choice>
  </mc:AlternateContent>
  <xr:revisionPtr revIDLastSave="0" documentId="13_ncr:1_{162D7FDB-58CD-42A3-A1D9-B5B06AE3C35D}" xr6:coauthVersionLast="47" xr6:coauthVersionMax="47" xr10:uidLastSave="{00000000-0000-0000-0000-000000000000}"/>
  <bookViews>
    <workbookView xWindow="-108" yWindow="-108" windowWidth="23256" windowHeight="13176" tabRatio="836" activeTab="1" xr2:uid="{EA584178-57C1-4143-85EF-6EDB73162683}"/>
  </bookViews>
  <sheets>
    <sheet name="Cover" sheetId="1" r:id="rId1"/>
    <sheet name="Fund Master Data" sheetId="2" r:id="rId2"/>
    <sheet name="Financial Calculations" sheetId="3" r:id="rId3"/>
    <sheet name="Risk-Return Analysis" sheetId="4" r:id="rId4"/>
    <sheet name="Expense Ratio Analysis" sheetId="5" r:id="rId5"/>
    <sheet name="NAV Trend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5" l="1"/>
  <c r="B28" i="5"/>
  <c r="B27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A23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C4" i="5"/>
  <c r="B4" i="5"/>
  <c r="A4" i="5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G4" i="4"/>
  <c r="F4" i="4"/>
  <c r="E4" i="4"/>
  <c r="D4" i="4"/>
  <c r="C4" i="4"/>
  <c r="B4" i="4"/>
  <c r="A4" i="4"/>
  <c r="J25" i="3"/>
  <c r="I25" i="3"/>
  <c r="G25" i="3"/>
  <c r="F25" i="3"/>
  <c r="E25" i="3"/>
  <c r="D25" i="3"/>
  <c r="C25" i="3"/>
  <c r="E6" i="3"/>
  <c r="E7" i="3"/>
  <c r="E8" i="3"/>
  <c r="E9" i="3"/>
  <c r="G9" i="3" s="1"/>
  <c r="E10" i="3"/>
  <c r="F10" i="3" s="1"/>
  <c r="E11" i="3"/>
  <c r="G11" i="3" s="1"/>
  <c r="E12" i="3"/>
  <c r="F12" i="3" s="1"/>
  <c r="E13" i="3"/>
  <c r="G13" i="3" s="1"/>
  <c r="E14" i="3"/>
  <c r="E15" i="3"/>
  <c r="E16" i="3"/>
  <c r="E17" i="3"/>
  <c r="G17" i="3" s="1"/>
  <c r="E18" i="3"/>
  <c r="F18" i="3" s="1"/>
  <c r="E19" i="3"/>
  <c r="E20" i="3"/>
  <c r="G20" i="3" s="1"/>
  <c r="E21" i="3"/>
  <c r="E22" i="3"/>
  <c r="E23" i="3"/>
  <c r="E24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D5" i="3"/>
  <c r="E5" i="3"/>
  <c r="F19" i="3"/>
  <c r="G21" i="3"/>
  <c r="F24" i="3"/>
  <c r="G10" i="3"/>
  <c r="G12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5" i="3"/>
  <c r="G6" i="3"/>
  <c r="G7" i="3"/>
  <c r="G8" i="3"/>
  <c r="K8" i="3" s="1"/>
  <c r="G14" i="3"/>
  <c r="G15" i="3"/>
  <c r="G16" i="3"/>
  <c r="G22" i="3"/>
  <c r="G23" i="3"/>
  <c r="G5" i="3"/>
  <c r="F6" i="3"/>
  <c r="F7" i="3"/>
  <c r="F8" i="3"/>
  <c r="F14" i="3"/>
  <c r="F15" i="3"/>
  <c r="F16" i="3"/>
  <c r="F17" i="3"/>
  <c r="F22" i="3"/>
  <c r="F23" i="3"/>
  <c r="F5" i="3"/>
  <c r="K5" i="3" s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5" i="3"/>
  <c r="A23" i="3"/>
  <c r="A24" i="3"/>
  <c r="A19" i="3"/>
  <c r="A20" i="3"/>
  <c r="A21" i="3"/>
  <c r="A22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5" i="3"/>
  <c r="D23" i="2"/>
  <c r="E23" i="2"/>
  <c r="F23" i="2"/>
  <c r="G23" i="2"/>
  <c r="F9" i="3" l="1"/>
  <c r="G19" i="3"/>
  <c r="K10" i="3"/>
  <c r="G18" i="3"/>
  <c r="K18" i="3" s="1"/>
  <c r="K9" i="3"/>
  <c r="K17" i="3"/>
  <c r="K7" i="3"/>
  <c r="K16" i="3"/>
  <c r="K6" i="3"/>
  <c r="K15" i="3"/>
  <c r="F21" i="3"/>
  <c r="K21" i="3" s="1"/>
  <c r="F13" i="3"/>
  <c r="K13" i="3" s="1"/>
  <c r="K14" i="3"/>
  <c r="F20" i="3"/>
  <c r="K20" i="3" s="1"/>
  <c r="K23" i="3"/>
  <c r="F11" i="3"/>
  <c r="K11" i="3" s="1"/>
  <c r="K22" i="3"/>
  <c r="K12" i="3"/>
  <c r="K19" i="3"/>
  <c r="G24" i="3"/>
  <c r="K24" i="3" s="1"/>
</calcChain>
</file>

<file path=xl/sharedStrings.xml><?xml version="1.0" encoding="utf-8"?>
<sst xmlns="http://schemas.openxmlformats.org/spreadsheetml/2006/main" count="135" uniqueCount="93">
  <si>
    <t>MUTUAL FUND MASTER DATA — 20 FUND UNIVERSE</t>
  </si>
  <si>
    <t>Fund Name</t>
  </si>
  <si>
    <t>Category</t>
  </si>
  <si>
    <t>AMC / Fund House</t>
  </si>
  <si>
    <t>AUM (₹ Cr)</t>
  </si>
  <si>
    <t>Expense Ratio</t>
  </si>
  <si>
    <t>Beta</t>
  </si>
  <si>
    <t>Std Deviation %</t>
  </si>
  <si>
    <t>NAV — 5Y Ago (₹)</t>
  </si>
  <si>
    <t>NAV — 3Y Ago (₹)</t>
  </si>
  <si>
    <t>NAV — 1Y Ago (₹)</t>
  </si>
  <si>
    <t>NAV — Current (₹)</t>
  </si>
  <si>
    <t>Mirae Asset Large Cap Fund</t>
  </si>
  <si>
    <t>Equity</t>
  </si>
  <si>
    <t>Mirae Asset</t>
  </si>
  <si>
    <t>Axis Bluechip Fund</t>
  </si>
  <si>
    <t>Axis MF</t>
  </si>
  <si>
    <t>HDFC Top 100 Fund</t>
  </si>
  <si>
    <t>HDFC MF</t>
  </si>
  <si>
    <t>Kotak Standard Multicap</t>
  </si>
  <si>
    <t>Kotak MF</t>
  </si>
  <si>
    <t>SBI Blue Chip Fund</t>
  </si>
  <si>
    <t>SBI MF</t>
  </si>
  <si>
    <t>Parag Parikh Flexi Cap</t>
  </si>
  <si>
    <t>PPFAS MF</t>
  </si>
  <si>
    <t>Nippon India Small Cap</t>
  </si>
  <si>
    <t>Nippon MF</t>
  </si>
  <si>
    <t>HDFC Mid-Cap Opportunities</t>
  </si>
  <si>
    <t>Aditya Birla PSU Equity</t>
  </si>
  <si>
    <t>ABSL MF</t>
  </si>
  <si>
    <t>DSP Midcap Fund</t>
  </si>
  <si>
    <t>DSP MF</t>
  </si>
  <si>
    <t>SBI Magnum Gilt Fund</t>
  </si>
  <si>
    <t>Debt</t>
  </si>
  <si>
    <t>HDFC Corporate Bond Fund</t>
  </si>
  <si>
    <t>Kotak Bond Short Term</t>
  </si>
  <si>
    <t>Axis Short Term Fund</t>
  </si>
  <si>
    <t>ICICI Pru Short Term Fund</t>
  </si>
  <si>
    <t>ICICI MF</t>
  </si>
  <si>
    <t>HDFC Hybrid Equity Fund</t>
  </si>
  <si>
    <t>Hybrid</t>
  </si>
  <si>
    <t>SBI Equity Hybrid Fund</t>
  </si>
  <si>
    <t>Mirae Asset Hybrid Equity</t>
  </si>
  <si>
    <t>Kotak Equity Hybrid Fund</t>
  </si>
  <si>
    <t>Canara Robeco Equity Hybrid</t>
  </si>
  <si>
    <t>Canara Robeco</t>
  </si>
  <si>
    <t>TOTALS / AVERAGES</t>
  </si>
  <si>
    <t>Risk-Free Rate (10Y G-Sec)</t>
  </si>
  <si>
    <t>Benchmark Annual Return</t>
  </si>
  <si>
    <t>1Y Return</t>
  </si>
  <si>
    <t>3Y CAGR</t>
  </si>
  <si>
    <t>5Y CAGR</t>
  </si>
  <si>
    <t>Sharpe Ratio</t>
  </si>
  <si>
    <t>Alpha</t>
  </si>
  <si>
    <t>Std Dev %</t>
  </si>
  <si>
    <t>Expense %</t>
  </si>
  <si>
    <t>Overall Score</t>
  </si>
  <si>
    <t>UNIVERSE AVERAGES</t>
  </si>
  <si>
    <t>Sharpe</t>
  </si>
  <si>
    <t>Std Dev%</t>
  </si>
  <si>
    <t>Quadrant</t>
  </si>
  <si>
    <t>Rank (5Y)</t>
  </si>
  <si>
    <t>Expense Ratio %</t>
  </si>
  <si>
    <t>Net Return (5Y − Expense)</t>
  </si>
  <si>
    <t>Cost Efficiency Grade</t>
  </si>
  <si>
    <t>Cost Rank</t>
  </si>
  <si>
    <t>Average Expense Ratio by Category:</t>
  </si>
  <si>
    <t>Equity avg return:</t>
  </si>
  <si>
    <t xml:space="preserve">Debt avg return: </t>
  </si>
  <si>
    <t xml:space="preserve">Hybrid avg return: 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</si>
  <si>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</si>
  <si>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</si>
  <si>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</si>
  <si>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</si>
  <si>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</si>
  <si>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</si>
  <si>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</si>
  <si>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</si>
  <si>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</si>
  <si>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</si>
  <si>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</si>
  <si>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</si>
  <si>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</si>
  <si>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</si>
  <si>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</si>
  <si>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</si>
  <si>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</si>
  <si>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Q3 2024</t>
  </si>
  <si>
    <t>Q2 2024</t>
  </si>
  <si>
    <t>Q1 2025</t>
  </si>
  <si>
    <t>HDFC Hybrid Equity</t>
  </si>
  <si>
    <t>Q4 2024</t>
  </si>
  <si>
    <t>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</si>
</sst>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"/>
    <numFmt numFmtId="165" formatCode="0.0"/>
    <numFmt numFmtId="166" formatCode="&quot;₹&quot;#,##0.0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4" tint="-0.499984740745262"/>
      <name val="Calibri"/>
      <family val="2"/>
      <scheme val="minor"/>
    </font>
    <font>
      <sz val="11"/>
      <color rgb="FFFFD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0" xfId="0" applyFont="1" applyFill="1" applyAlignment="1">
      <alignment horizontal="center" vertical="center"/>
    </xf>
    <xf numFmtId="10" fontId="0" fillId="0" borderId="0" xfId="0" applyNumberFormat="1"/>
    <xf numFmtId="2" fontId="0" fillId="0" borderId="0" xfId="0" applyNumberFormat="1"/>
    <xf numFmtId="0" fontId="0" fillId="4" borderId="0" xfId="0" applyFill="1"/>
    <xf numFmtId="164" fontId="0" fillId="4" borderId="0" xfId="0" applyNumberFormat="1" applyFill="1"/>
    <xf numFmtId="10" fontId="0" fillId="4" borderId="0" xfId="0" applyNumberFormat="1" applyFill="1"/>
    <xf numFmtId="2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0" fontId="0" fillId="5" borderId="0" xfId="0" applyNumberFormat="1" applyFill="1"/>
    <xf numFmtId="2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10" fontId="0" fillId="6" borderId="0" xfId="0" applyNumberFormat="1" applyFill="1"/>
    <xf numFmtId="2" fontId="0" fillId="6" borderId="0" xfId="0" applyNumberFormat="1" applyFill="1"/>
    <xf numFmtId="165" fontId="0" fillId="6" borderId="0" xfId="0" applyNumberFormat="1" applyFill="1"/>
    <xf numFmtId="166" fontId="0" fillId="6" borderId="0" xfId="0" applyNumberFormat="1" applyFill="1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67" fontId="0" fillId="0" borderId="0" xfId="0" applyNumberFormat="1"/>
    <xf numFmtId="167" fontId="3" fillId="7" borderId="0" xfId="0" applyNumberFormat="1" applyFont="1" applyFill="1"/>
    <xf numFmtId="0" fontId="4" fillId="8" borderId="0" xfId="0" applyFont="1" applyFill="1"/>
    <xf numFmtId="167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700"/>
      <color rgb="FFFFF3E0"/>
      <color rgb="FFE3F2FD"/>
      <color rgb="FFE8F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A755-C7DC-4BF5-ADD3-D7EE76148BE0}">
  <sheetPr>
    <tabColor theme="0"/>
  </sheetPr>
  <dimension ref="A1"/>
  <sheetViews>
    <sheetView zoomScaleNormal="100" workbookViewId="0">
      <selection activeCell="C25" sqref="C25"/>
    </sheetView>
  </sheetViews>
  <sheetFormatPr defaultRowHeight="14.4" x14ac:dyDescent="0.3"/>
  <cols>
    <col min="1" max="1" width="40.77734375" customWidth="1"/>
    <col min="2" max="2" width="12.77734375" customWidth="1"/>
    <col min="3" max="3" width="16.109375" bestFit="1" customWidth="1"/>
    <col min="4" max="4" width="12.5546875" customWidth="1"/>
    <col min="5" max="5" width="12.6640625" bestFit="1" customWidth="1"/>
    <col min="6" max="6" width="13.21875" customWidth="1"/>
    <col min="7" max="7" width="16.88671875" customWidth="1"/>
    <col min="8" max="8" width="15.44140625" bestFit="1" customWidth="1"/>
    <col min="9" max="9" width="20.88671875" customWidth="1"/>
    <col min="10" max="10" width="21.5546875" customWidth="1"/>
    <col min="11" max="11" width="19.5546875" customWidth="1"/>
  </cols>
  <sheetData>
    <row r="1" ht="14.4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A79D-A2DE-4071-A0CF-27786F651155}">
  <dimension ref="A1:K23"/>
  <sheetViews>
    <sheetView tabSelected="1" workbookViewId="0">
      <selection sqref="A1:XFD1"/>
    </sheetView>
  </sheetViews>
  <sheetFormatPr defaultRowHeight="14.4" x14ac:dyDescent="0.3"/>
  <cols>
    <col min="1" max="1" width="24.88671875" bestFit="1" customWidth="1"/>
    <col min="2" max="2" width="8.5546875" bestFit="1" customWidth="1"/>
    <col min="3" max="3" width="16.88671875" bestFit="1" customWidth="1"/>
    <col min="4" max="4" width="10.33203125" bestFit="1" customWidth="1"/>
    <col min="5" max="5" width="12.6640625" bestFit="1" customWidth="1"/>
    <col min="6" max="6" width="4.77734375" bestFit="1" customWidth="1"/>
    <col min="7" max="7" width="14.21875" bestFit="1" customWidth="1"/>
    <col min="8" max="10" width="16.109375" bestFit="1" customWidth="1"/>
    <col min="11" max="11" width="16.6640625" bestFit="1" customWidth="1"/>
  </cols>
  <sheetData>
    <row r="1" spans="1:11" ht="34.950000000000003" customHeight="1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s="4" t="s">
        <v>12</v>
      </c>
      <c r="B3" s="4" t="s">
        <v>13</v>
      </c>
      <c r="C3" s="4" t="s">
        <v>14</v>
      </c>
      <c r="D3" s="5">
        <v>37850</v>
      </c>
      <c r="E3" s="6">
        <v>5.4000000000000003E-3</v>
      </c>
      <c r="F3" s="7">
        <v>0.97</v>
      </c>
      <c r="G3" s="8">
        <v>14.2</v>
      </c>
      <c r="H3" s="9">
        <v>42.15</v>
      </c>
      <c r="I3" s="9">
        <v>56.8</v>
      </c>
      <c r="J3" s="9">
        <v>71.349999999999994</v>
      </c>
      <c r="K3" s="9">
        <v>89.42</v>
      </c>
    </row>
    <row r="4" spans="1:11" x14ac:dyDescent="0.3">
      <c r="A4" s="4" t="s">
        <v>15</v>
      </c>
      <c r="B4" s="4" t="s">
        <v>13</v>
      </c>
      <c r="C4" s="4" t="s">
        <v>16</v>
      </c>
      <c r="D4" s="5">
        <v>34210</v>
      </c>
      <c r="E4" s="6">
        <v>5.7999999999999996E-3</v>
      </c>
      <c r="F4" s="7">
        <v>0.92</v>
      </c>
      <c r="G4" s="8">
        <v>13.83</v>
      </c>
      <c r="H4" s="9">
        <v>46.25</v>
      </c>
      <c r="I4" s="9">
        <v>5.6</v>
      </c>
      <c r="J4" s="9">
        <v>13.83</v>
      </c>
      <c r="K4" s="9">
        <v>68.92</v>
      </c>
    </row>
    <row r="5" spans="1:11" x14ac:dyDescent="0.3">
      <c r="A5" s="4" t="s">
        <v>17</v>
      </c>
      <c r="B5" s="4" t="s">
        <v>13</v>
      </c>
      <c r="C5" s="4" t="s">
        <v>18</v>
      </c>
      <c r="D5" s="5">
        <v>29650</v>
      </c>
      <c r="E5" s="6">
        <v>1.6500000000000001E-2</v>
      </c>
      <c r="F5" s="7">
        <v>1.05</v>
      </c>
      <c r="G5" s="8">
        <v>15.62</v>
      </c>
      <c r="H5" s="9">
        <v>38.9</v>
      </c>
      <c r="I5" s="9">
        <v>8.4</v>
      </c>
      <c r="J5" s="9">
        <v>15.62</v>
      </c>
      <c r="K5" s="9">
        <v>72.150000000000006</v>
      </c>
    </row>
    <row r="6" spans="1:11" x14ac:dyDescent="0.3">
      <c r="A6" s="4" t="s">
        <v>19</v>
      </c>
      <c r="B6" s="4" t="s">
        <v>13</v>
      </c>
      <c r="C6" s="4" t="s">
        <v>20</v>
      </c>
      <c r="D6" s="5">
        <v>42310</v>
      </c>
      <c r="E6" s="6">
        <v>5.7999999999999996E-3</v>
      </c>
      <c r="F6" s="7">
        <v>1.02</v>
      </c>
      <c r="G6" s="8">
        <v>14.93</v>
      </c>
      <c r="H6" s="9">
        <v>44.6</v>
      </c>
      <c r="I6" s="9">
        <v>1.8</v>
      </c>
      <c r="J6" s="9">
        <v>14.93</v>
      </c>
      <c r="K6" s="9">
        <v>78.3</v>
      </c>
    </row>
    <row r="7" spans="1:11" x14ac:dyDescent="0.3">
      <c r="A7" s="4" t="s">
        <v>21</v>
      </c>
      <c r="B7" s="4" t="s">
        <v>13</v>
      </c>
      <c r="C7" s="4" t="s">
        <v>22</v>
      </c>
      <c r="D7" s="5">
        <v>31420</v>
      </c>
      <c r="E7" s="6">
        <v>9.7999999999999997E-3</v>
      </c>
      <c r="F7" s="7">
        <v>0.95</v>
      </c>
      <c r="G7" s="8">
        <v>14.12</v>
      </c>
      <c r="H7" s="9">
        <v>40.200000000000003</v>
      </c>
      <c r="I7" s="9">
        <v>9.6</v>
      </c>
      <c r="J7" s="9">
        <v>14.12</v>
      </c>
      <c r="K7" s="9">
        <v>67.849999999999994</v>
      </c>
    </row>
    <row r="8" spans="1:11" x14ac:dyDescent="0.3">
      <c r="A8" s="4" t="s">
        <v>23</v>
      </c>
      <c r="B8" s="4" t="s">
        <v>13</v>
      </c>
      <c r="C8" s="4" t="s">
        <v>24</v>
      </c>
      <c r="D8" s="5">
        <v>52140</v>
      </c>
      <c r="E8" s="6">
        <v>6.3E-3</v>
      </c>
      <c r="F8" s="7">
        <v>0.88</v>
      </c>
      <c r="G8" s="8">
        <v>13.52</v>
      </c>
      <c r="H8" s="9">
        <v>42.8</v>
      </c>
      <c r="I8" s="9">
        <v>6.4</v>
      </c>
      <c r="J8" s="9">
        <v>13.52</v>
      </c>
      <c r="K8" s="9">
        <v>84.2</v>
      </c>
    </row>
    <row r="9" spans="1:11" x14ac:dyDescent="0.3">
      <c r="A9" s="4" t="s">
        <v>25</v>
      </c>
      <c r="B9" s="4" t="s">
        <v>13</v>
      </c>
      <c r="C9" s="4" t="s">
        <v>26</v>
      </c>
      <c r="D9" s="5">
        <v>41230</v>
      </c>
      <c r="E9" s="6">
        <v>7.4000000000000003E-3</v>
      </c>
      <c r="F9" s="7">
        <v>1.18</v>
      </c>
      <c r="G9" s="8">
        <v>19.809999999999999</v>
      </c>
      <c r="H9" s="9">
        <v>35.4</v>
      </c>
      <c r="I9" s="9">
        <v>8.6</v>
      </c>
      <c r="J9" s="9">
        <v>19.809999999999999</v>
      </c>
      <c r="K9" s="9">
        <v>112.4</v>
      </c>
    </row>
    <row r="10" spans="1:11" x14ac:dyDescent="0.3">
      <c r="A10" s="4" t="s">
        <v>27</v>
      </c>
      <c r="B10" s="4" t="s">
        <v>13</v>
      </c>
      <c r="C10" s="4" t="s">
        <v>18</v>
      </c>
      <c r="D10" s="5">
        <v>38920</v>
      </c>
      <c r="E10" s="6">
        <v>1.6500000000000001E-2</v>
      </c>
      <c r="F10" s="7">
        <v>1.1200000000000001</v>
      </c>
      <c r="G10" s="8">
        <v>18.23</v>
      </c>
      <c r="H10" s="9">
        <v>52.8</v>
      </c>
      <c r="I10" s="9">
        <v>2.5</v>
      </c>
      <c r="J10" s="9">
        <v>18.23</v>
      </c>
      <c r="K10" s="9">
        <v>128.6</v>
      </c>
    </row>
    <row r="11" spans="1:11" x14ac:dyDescent="0.3">
      <c r="A11" s="4" t="s">
        <v>28</v>
      </c>
      <c r="B11" s="4" t="s">
        <v>13</v>
      </c>
      <c r="C11" s="4" t="s">
        <v>29</v>
      </c>
      <c r="D11" s="5">
        <v>4210</v>
      </c>
      <c r="E11" s="6">
        <v>5.1000000000000004E-3</v>
      </c>
      <c r="F11" s="7">
        <v>1.22</v>
      </c>
      <c r="G11" s="8">
        <v>22.41</v>
      </c>
      <c r="H11" s="9">
        <v>18.600000000000001</v>
      </c>
      <c r="I11" s="9">
        <v>2.2999999999999998</v>
      </c>
      <c r="J11" s="9">
        <v>22.41</v>
      </c>
      <c r="K11" s="9">
        <v>61.2</v>
      </c>
    </row>
    <row r="12" spans="1:11" x14ac:dyDescent="0.3">
      <c r="A12" s="4" t="s">
        <v>30</v>
      </c>
      <c r="B12" s="4" t="s">
        <v>13</v>
      </c>
      <c r="C12" s="4" t="s">
        <v>31</v>
      </c>
      <c r="D12" s="5">
        <v>18640</v>
      </c>
      <c r="E12" s="6">
        <v>8.5000000000000006E-3</v>
      </c>
      <c r="F12" s="7">
        <v>1.08</v>
      </c>
      <c r="G12" s="8">
        <v>17.52</v>
      </c>
      <c r="H12" s="9">
        <v>44.2</v>
      </c>
      <c r="I12" s="9">
        <v>8.4</v>
      </c>
      <c r="J12" s="9">
        <v>17.52</v>
      </c>
      <c r="K12" s="9">
        <v>102.8</v>
      </c>
    </row>
    <row r="13" spans="1:11" x14ac:dyDescent="0.3">
      <c r="A13" s="10" t="s">
        <v>32</v>
      </c>
      <c r="B13" s="10" t="s">
        <v>33</v>
      </c>
      <c r="C13" s="10" t="s">
        <v>22</v>
      </c>
      <c r="D13" s="11">
        <v>8420</v>
      </c>
      <c r="E13" s="12">
        <v>4.5999999999999999E-3</v>
      </c>
      <c r="F13" s="13">
        <v>0.18</v>
      </c>
      <c r="G13" s="14">
        <v>4.2</v>
      </c>
      <c r="H13" s="15">
        <v>40.200000000000003</v>
      </c>
      <c r="I13" s="15">
        <v>46.8</v>
      </c>
      <c r="J13" s="15">
        <v>51.6</v>
      </c>
      <c r="K13" s="15">
        <v>56.4</v>
      </c>
    </row>
    <row r="14" spans="1:11" x14ac:dyDescent="0.3">
      <c r="A14" s="10" t="s">
        <v>34</v>
      </c>
      <c r="B14" s="10" t="s">
        <v>33</v>
      </c>
      <c r="C14" s="10" t="s">
        <v>18</v>
      </c>
      <c r="D14" s="11">
        <v>28640</v>
      </c>
      <c r="E14" s="12">
        <v>3.8E-3</v>
      </c>
      <c r="F14" s="13">
        <v>0.22</v>
      </c>
      <c r="G14" s="14">
        <v>3.8</v>
      </c>
      <c r="H14" s="15">
        <v>18.600000000000001</v>
      </c>
      <c r="I14" s="15">
        <v>22.4</v>
      </c>
      <c r="J14" s="15">
        <v>25.8</v>
      </c>
      <c r="K14" s="15">
        <v>28.6</v>
      </c>
    </row>
    <row r="15" spans="1:11" x14ac:dyDescent="0.3">
      <c r="A15" s="10" t="s">
        <v>35</v>
      </c>
      <c r="B15" s="10" t="s">
        <v>33</v>
      </c>
      <c r="C15" s="10" t="s">
        <v>20</v>
      </c>
      <c r="D15" s="11">
        <v>15820</v>
      </c>
      <c r="E15" s="12">
        <v>4.1999999999999997E-3</v>
      </c>
      <c r="F15" s="13">
        <v>0.15</v>
      </c>
      <c r="G15" s="14">
        <v>2.9</v>
      </c>
      <c r="H15" s="15">
        <v>36.799999999999997</v>
      </c>
      <c r="I15" s="15">
        <v>42.2</v>
      </c>
      <c r="J15" s="15">
        <v>46.8</v>
      </c>
      <c r="K15" s="15">
        <v>51.2</v>
      </c>
    </row>
    <row r="16" spans="1:11" x14ac:dyDescent="0.3">
      <c r="A16" s="10" t="s">
        <v>36</v>
      </c>
      <c r="B16" s="10" t="s">
        <v>33</v>
      </c>
      <c r="C16" s="10" t="s">
        <v>16</v>
      </c>
      <c r="D16" s="11">
        <v>9240</v>
      </c>
      <c r="E16" s="12">
        <v>3.5000000000000001E-3</v>
      </c>
      <c r="F16" s="13">
        <v>0.12</v>
      </c>
      <c r="G16" s="14">
        <v>2.5</v>
      </c>
      <c r="H16" s="15">
        <v>19.399999999999999</v>
      </c>
      <c r="I16" s="15">
        <v>22.8</v>
      </c>
      <c r="J16" s="15">
        <v>25.6</v>
      </c>
      <c r="K16" s="15">
        <v>28.2</v>
      </c>
    </row>
    <row r="17" spans="1:11" x14ac:dyDescent="0.3">
      <c r="A17" s="10" t="s">
        <v>37</v>
      </c>
      <c r="B17" s="10" t="s">
        <v>33</v>
      </c>
      <c r="C17" s="10" t="s">
        <v>38</v>
      </c>
      <c r="D17" s="11">
        <v>18420</v>
      </c>
      <c r="E17" s="12">
        <v>4.1000000000000003E-3</v>
      </c>
      <c r="F17" s="13">
        <v>0.16</v>
      </c>
      <c r="G17" s="14">
        <v>3.1</v>
      </c>
      <c r="H17" s="15">
        <v>34.6</v>
      </c>
      <c r="I17" s="15">
        <v>39.799999999999997</v>
      </c>
      <c r="J17" s="15">
        <v>44.2</v>
      </c>
      <c r="K17" s="15">
        <v>48.8</v>
      </c>
    </row>
    <row r="18" spans="1:11" x14ac:dyDescent="0.3">
      <c r="A18" s="16" t="s">
        <v>39</v>
      </c>
      <c r="B18" s="16" t="s">
        <v>40</v>
      </c>
      <c r="C18" s="16" t="s">
        <v>18</v>
      </c>
      <c r="D18" s="17">
        <v>22840</v>
      </c>
      <c r="E18" s="18">
        <v>1.0800000000000001E-2</v>
      </c>
      <c r="F18" s="19">
        <v>0.72</v>
      </c>
      <c r="G18" s="20">
        <v>10.4</v>
      </c>
      <c r="H18" s="21">
        <v>42.6</v>
      </c>
      <c r="I18" s="21">
        <v>54.2</v>
      </c>
      <c r="J18" s="21">
        <v>66.8</v>
      </c>
      <c r="K18" s="21">
        <v>80.400000000000006</v>
      </c>
    </row>
    <row r="19" spans="1:11" x14ac:dyDescent="0.3">
      <c r="A19" s="16" t="s">
        <v>41</v>
      </c>
      <c r="B19" s="16" t="s">
        <v>40</v>
      </c>
      <c r="C19" s="16" t="s">
        <v>22</v>
      </c>
      <c r="D19" s="17">
        <v>56420</v>
      </c>
      <c r="E19" s="18">
        <v>8.2000000000000007E-3</v>
      </c>
      <c r="F19" s="19">
        <v>0.75</v>
      </c>
      <c r="G19" s="20">
        <v>11.2</v>
      </c>
      <c r="H19" s="21">
        <v>148.19999999999999</v>
      </c>
      <c r="I19" s="21">
        <v>186.4</v>
      </c>
      <c r="J19" s="21">
        <v>226.8</v>
      </c>
      <c r="K19" s="21">
        <v>268.39999999999998</v>
      </c>
    </row>
    <row r="20" spans="1:11" x14ac:dyDescent="0.3">
      <c r="A20" s="16" t="s">
        <v>42</v>
      </c>
      <c r="B20" s="16" t="s">
        <v>40</v>
      </c>
      <c r="C20" s="16" t="s">
        <v>14</v>
      </c>
      <c r="D20" s="17">
        <v>8240</v>
      </c>
      <c r="E20" s="18">
        <v>4.5999999999999999E-3</v>
      </c>
      <c r="F20" s="19">
        <v>0.7</v>
      </c>
      <c r="G20" s="20">
        <v>10.8</v>
      </c>
      <c r="H20" s="21">
        <v>16.8</v>
      </c>
      <c r="I20" s="21">
        <v>22.4</v>
      </c>
      <c r="J20" s="21">
        <v>28.2</v>
      </c>
      <c r="K20" s="21">
        <v>34.6</v>
      </c>
    </row>
    <row r="21" spans="1:11" x14ac:dyDescent="0.3">
      <c r="A21" s="16" t="s">
        <v>43</v>
      </c>
      <c r="B21" s="16" t="s">
        <v>40</v>
      </c>
      <c r="C21" s="16" t="s">
        <v>20</v>
      </c>
      <c r="D21" s="17">
        <v>6840</v>
      </c>
      <c r="E21" s="18">
        <v>5.7999999999999996E-3</v>
      </c>
      <c r="F21" s="19">
        <v>0.68</v>
      </c>
      <c r="G21" s="20">
        <v>10.199999999999999</v>
      </c>
      <c r="H21" s="21">
        <v>28.4</v>
      </c>
      <c r="I21" s="21">
        <v>36.200000000000003</v>
      </c>
      <c r="J21" s="21">
        <v>44.8</v>
      </c>
      <c r="K21" s="21">
        <v>54.6</v>
      </c>
    </row>
    <row r="22" spans="1:11" x14ac:dyDescent="0.3">
      <c r="A22" s="16" t="s">
        <v>44</v>
      </c>
      <c r="B22" s="16" t="s">
        <v>40</v>
      </c>
      <c r="C22" s="16" t="s">
        <v>45</v>
      </c>
      <c r="D22" s="17">
        <v>9840</v>
      </c>
      <c r="E22" s="18">
        <v>6.6E-3</v>
      </c>
      <c r="F22" s="19">
        <v>0.74</v>
      </c>
      <c r="G22" s="20">
        <v>11.5</v>
      </c>
      <c r="H22" s="21">
        <v>182.4</v>
      </c>
      <c r="I22" s="21">
        <v>228.6</v>
      </c>
      <c r="J22" s="21">
        <v>274.8</v>
      </c>
      <c r="K22" s="21">
        <v>322.39999999999998</v>
      </c>
    </row>
    <row r="23" spans="1:11" x14ac:dyDescent="0.3">
      <c r="A23" s="22" t="s">
        <v>46</v>
      </c>
      <c r="B23" s="22"/>
      <c r="C23" s="22"/>
      <c r="D23" s="23">
        <f>SUM(D3:D22)</f>
        <v>515300</v>
      </c>
      <c r="E23" s="24">
        <f>AVERAGE(E3:E22)</f>
        <v>7.1650000000000004E-3</v>
      </c>
      <c r="F23" s="25">
        <f>AVERAGE(F3:F22)</f>
        <v>0.74050000000000005</v>
      </c>
      <c r="G23" s="26">
        <f>AVERAGE(G3:G22)</f>
        <v>11.739500000000001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A6FF-939A-49FF-911B-2EC3BFF836D6}">
  <dimension ref="A1:K25"/>
  <sheetViews>
    <sheetView workbookViewId="0">
      <selection activeCell="O26" sqref="O26"/>
    </sheetView>
  </sheetViews>
  <sheetFormatPr defaultRowHeight="14.4" x14ac:dyDescent="0.3"/>
  <cols>
    <col min="1" max="1" width="24.88671875" bestFit="1" customWidth="1"/>
    <col min="2" max="2" width="11.6640625" customWidth="1"/>
    <col min="3" max="3" width="10.44140625" customWidth="1"/>
    <col min="4" max="4" width="12" customWidth="1"/>
    <col min="5" max="5" width="11.5546875" customWidth="1"/>
    <col min="6" max="6" width="13.5546875" customWidth="1"/>
    <col min="7" max="7" width="10.21875" customWidth="1"/>
    <col min="8" max="8" width="9.109375" customWidth="1"/>
    <col min="9" max="9" width="10.77734375" customWidth="1"/>
    <col min="10" max="10" width="12.109375" customWidth="1"/>
    <col min="11" max="11" width="13.5546875" customWidth="1"/>
  </cols>
  <sheetData>
    <row r="1" spans="1:11" x14ac:dyDescent="0.3">
      <c r="A1" t="s">
        <v>47</v>
      </c>
      <c r="B1" s="28">
        <v>7.1999999999999995E-2</v>
      </c>
    </row>
    <row r="2" spans="1:11" x14ac:dyDescent="0.3">
      <c r="A2" t="s">
        <v>48</v>
      </c>
      <c r="B2" s="28">
        <v>0.128</v>
      </c>
    </row>
    <row r="4" spans="1:11" x14ac:dyDescent="0.3">
      <c r="A4" s="22" t="s">
        <v>1</v>
      </c>
      <c r="B4" s="22" t="s">
        <v>2</v>
      </c>
      <c r="C4" s="22" t="s">
        <v>49</v>
      </c>
      <c r="D4" s="22" t="s">
        <v>50</v>
      </c>
      <c r="E4" s="22" t="s">
        <v>51</v>
      </c>
      <c r="F4" s="22" t="s">
        <v>52</v>
      </c>
      <c r="G4" s="22" t="s">
        <v>53</v>
      </c>
      <c r="H4" s="22" t="s">
        <v>6</v>
      </c>
      <c r="I4" s="22" t="s">
        <v>54</v>
      </c>
      <c r="J4" s="22" t="s">
        <v>55</v>
      </c>
      <c r="K4" s="22" t="s">
        <v>56</v>
      </c>
    </row>
    <row r="5" spans="1:11" x14ac:dyDescent="0.3">
      <c r="A5" t="str">
        <f>'Fund Master Data'!A3</f>
        <v>Mirae Asset Large Cap Fund</v>
      </c>
      <c r="B5" t="str">
        <f>'Fund Master Data'!B3</f>
        <v>Equity</v>
      </c>
      <c r="C5" s="27">
        <f>('Fund Master Data'!K3/'Fund Master Data'!J3)-1</f>
        <v>0.2532585844428874</v>
      </c>
      <c r="D5" s="27">
        <f>('Fund Master Data'!K3/'Fund Master Data'!I3)^(1/3)-1</f>
        <v>0.16330995151450933</v>
      </c>
      <c r="E5" s="27">
        <f>('Fund Master Data'!K3/'Fund Master Data'!H3)^(1/5)-1</f>
        <v>0.16232456733454326</v>
      </c>
      <c r="F5" s="3">
        <f>(E5-$B$1)/('Fund Master Data'!G3/100)</f>
        <v>0.6360885023559385</v>
      </c>
      <c r="G5" s="2">
        <f>E5-($B$1+'Fund Master Data'!F3*($B$2-$B$1))</f>
        <v>3.6004567334543269E-2</v>
      </c>
      <c r="H5" s="3">
        <f>'Fund Master Data'!F3</f>
        <v>0.97</v>
      </c>
      <c r="I5">
        <f>'Fund Master Data'!G3</f>
        <v>14.2</v>
      </c>
      <c r="J5" s="2">
        <f>'Fund Master Data'!E3</f>
        <v>5.4000000000000003E-3</v>
      </c>
      <c r="K5" s="3">
        <f>F5*40 + C5*100*30 + G5*100*30</f>
        <v>893.23299542652944</v>
      </c>
    </row>
    <row r="6" spans="1:11" x14ac:dyDescent="0.3">
      <c r="A6" t="str">
        <f>'Fund Master Data'!A4</f>
        <v>Axis Bluechip Fund</v>
      </c>
      <c r="B6" t="str">
        <f>'Fund Master Data'!B4</f>
        <v>Equity</v>
      </c>
      <c r="C6" s="27">
        <f>('Fund Master Data'!K4/'Fund Master Data'!J4)-1</f>
        <v>3.9833694866232827</v>
      </c>
      <c r="D6" s="27">
        <f>('Fund Master Data'!K4/'Fund Master Data'!I4)^(1/3)-1</f>
        <v>1.3087969884080288</v>
      </c>
      <c r="E6" s="27">
        <f>('Fund Master Data'!K4/'Fund Master Data'!H4)^(1/5)-1</f>
        <v>8.3045510263880518E-2</v>
      </c>
      <c r="F6" s="3">
        <f>(E6-$B$1)/('Fund Master Data'!G4/100)</f>
        <v>7.986630704179698E-2</v>
      </c>
      <c r="G6" s="2">
        <f>E6-($B$1+'Fund Master Data'!F4*($B$2-$B$1))</f>
        <v>-4.0474489736119487E-2</v>
      </c>
      <c r="H6" s="3">
        <f>'Fund Master Data'!F4</f>
        <v>0.92</v>
      </c>
      <c r="I6">
        <f>'Fund Master Data'!G4</f>
        <v>13.83</v>
      </c>
      <c r="J6" s="2">
        <f>'Fund Master Data'!E4</f>
        <v>5.7999999999999996E-3</v>
      </c>
      <c r="K6" s="3">
        <f t="shared" ref="K6:K24" si="0">F6*40 + C6*100*30 + G6*100*30</f>
        <v>11831.87964294316</v>
      </c>
    </row>
    <row r="7" spans="1:11" x14ac:dyDescent="0.3">
      <c r="A7" t="str">
        <f>'Fund Master Data'!A5</f>
        <v>HDFC Top 100 Fund</v>
      </c>
      <c r="B7" t="str">
        <f>'Fund Master Data'!B5</f>
        <v>Equity</v>
      </c>
      <c r="C7" s="27">
        <f>('Fund Master Data'!K5/'Fund Master Data'!J5)-1</f>
        <v>3.6190781049935987</v>
      </c>
      <c r="D7" s="27">
        <f>('Fund Master Data'!K5/'Fund Master Data'!I5)^(1/3)-1</f>
        <v>1.0479484305339208</v>
      </c>
      <c r="E7" s="27">
        <f>('Fund Master Data'!K5/'Fund Master Data'!H5)^(1/5)-1</f>
        <v>0.13150726518979994</v>
      </c>
      <c r="F7" s="3">
        <f>(E7-$B$1)/('Fund Master Data'!G5/100)</f>
        <v>0.38096840710499325</v>
      </c>
      <c r="G7" s="2">
        <f>E7-($B$1+'Fund Master Data'!F5*($B$2-$B$1))</f>
        <v>7.0726518979993824E-4</v>
      </c>
      <c r="H7" s="3">
        <f>'Fund Master Data'!F5</f>
        <v>1.05</v>
      </c>
      <c r="I7">
        <f>'Fund Master Data'!G5</f>
        <v>15.62</v>
      </c>
      <c r="J7" s="2">
        <f>'Fund Master Data'!E5</f>
        <v>1.6500000000000001E-2</v>
      </c>
      <c r="K7" s="3">
        <f t="shared" si="0"/>
        <v>10874.594846834396</v>
      </c>
    </row>
    <row r="8" spans="1:11" x14ac:dyDescent="0.3">
      <c r="A8" t="str">
        <f>'Fund Master Data'!A6</f>
        <v>Kotak Standard Multicap</v>
      </c>
      <c r="B8" t="str">
        <f>'Fund Master Data'!B6</f>
        <v>Equity</v>
      </c>
      <c r="C8" s="27">
        <f>('Fund Master Data'!K6/'Fund Master Data'!J6)-1</f>
        <v>4.2444742129939721</v>
      </c>
      <c r="D8" s="27">
        <f>('Fund Master Data'!K6/'Fund Master Data'!I6)^(1/3)-1</f>
        <v>2.5169248279988308</v>
      </c>
      <c r="E8" s="27">
        <f>('Fund Master Data'!K6/'Fund Master Data'!H6)^(1/5)-1</f>
        <v>0.11914247955063595</v>
      </c>
      <c r="F8" s="3">
        <f>(E8-$B$1)/('Fund Master Data'!G6/100)</f>
        <v>0.31575672840345587</v>
      </c>
      <c r="G8" s="2">
        <f>E8-($B$1+'Fund Master Data'!F6*($B$2-$B$1))</f>
        <v>-9.9775204493640635E-3</v>
      </c>
      <c r="H8" s="3">
        <f>'Fund Master Data'!F6</f>
        <v>1.02</v>
      </c>
      <c r="I8">
        <f>'Fund Master Data'!G6</f>
        <v>14.93</v>
      </c>
      <c r="J8" s="2">
        <f>'Fund Master Data'!E6</f>
        <v>5.7999999999999996E-3</v>
      </c>
      <c r="K8" s="3">
        <f t="shared" si="0"/>
        <v>12716.120346769962</v>
      </c>
    </row>
    <row r="9" spans="1:11" x14ac:dyDescent="0.3">
      <c r="A9" t="str">
        <f>'Fund Master Data'!A7</f>
        <v>SBI Blue Chip Fund</v>
      </c>
      <c r="B9" t="str">
        <f>'Fund Master Data'!B7</f>
        <v>Equity</v>
      </c>
      <c r="C9" s="27">
        <f>('Fund Master Data'!K7/'Fund Master Data'!J7)-1</f>
        <v>3.8052407932011327</v>
      </c>
      <c r="D9" s="27">
        <f>('Fund Master Data'!K7/'Fund Master Data'!I7)^(1/3)-1</f>
        <v>0.91907908792489623</v>
      </c>
      <c r="E9" s="27">
        <f>('Fund Master Data'!K7/'Fund Master Data'!H7)^(1/5)-1</f>
        <v>0.11036243287290848</v>
      </c>
      <c r="F9" s="3">
        <f>(E9-$B$1)/('Fund Master Data'!G7/100)</f>
        <v>0.27168861808008843</v>
      </c>
      <c r="G9" s="2">
        <f>E9-($B$1+'Fund Master Data'!F7*($B$2-$B$1))</f>
        <v>-1.4837567127091528E-2</v>
      </c>
      <c r="H9" s="3">
        <f>'Fund Master Data'!F7</f>
        <v>0.95</v>
      </c>
      <c r="I9">
        <f>'Fund Master Data'!G7</f>
        <v>14.12</v>
      </c>
      <c r="J9" s="2">
        <f>'Fund Master Data'!E7</f>
        <v>9.7999999999999997E-3</v>
      </c>
      <c r="K9" s="3">
        <f t="shared" si="0"/>
        <v>11382.077222945327</v>
      </c>
    </row>
    <row r="10" spans="1:11" x14ac:dyDescent="0.3">
      <c r="A10" t="str">
        <f>'Fund Master Data'!A8</f>
        <v>Parag Parikh Flexi Cap</v>
      </c>
      <c r="B10" t="str">
        <f>'Fund Master Data'!B8</f>
        <v>Equity</v>
      </c>
      <c r="C10" s="27">
        <f>('Fund Master Data'!K8/'Fund Master Data'!J8)-1</f>
        <v>5.2278106508875748</v>
      </c>
      <c r="D10" s="27">
        <f>('Fund Master Data'!K8/'Fund Master Data'!I8)^(1/3)-1</f>
        <v>1.3607176071120546</v>
      </c>
      <c r="E10" s="27">
        <f>('Fund Master Data'!K8/'Fund Master Data'!H8)^(1/5)-1</f>
        <v>0.1449161051748209</v>
      </c>
      <c r="F10" s="3">
        <f>(E10-$B$1)/('Fund Master Data'!G8/100)</f>
        <v>0.53932030454749191</v>
      </c>
      <c r="G10" s="2">
        <f>E10-($B$1+'Fund Master Data'!F8*($B$2-$B$1))</f>
        <v>2.3636105174820898E-2</v>
      </c>
      <c r="H10" s="3">
        <f>'Fund Master Data'!F8</f>
        <v>0.88</v>
      </c>
      <c r="I10">
        <f>'Fund Master Data'!G8</f>
        <v>13.52</v>
      </c>
      <c r="J10" s="2">
        <f>'Fund Master Data'!E8</f>
        <v>6.3E-3</v>
      </c>
      <c r="K10" s="3">
        <f t="shared" si="0"/>
        <v>15775.913080369086</v>
      </c>
    </row>
    <row r="11" spans="1:11" x14ac:dyDescent="0.3">
      <c r="A11" t="str">
        <f>'Fund Master Data'!A9</f>
        <v>Nippon India Small Cap</v>
      </c>
      <c r="B11" t="str">
        <f>'Fund Master Data'!B9</f>
        <v>Equity</v>
      </c>
      <c r="C11" s="27">
        <f>('Fund Master Data'!K9/'Fund Master Data'!J9)-1</f>
        <v>4.6739020696617875</v>
      </c>
      <c r="D11" s="27">
        <f>('Fund Master Data'!K9/'Fund Master Data'!I9)^(1/3)-1</f>
        <v>1.3555335085812348</v>
      </c>
      <c r="E11" s="27">
        <f>('Fund Master Data'!K9/'Fund Master Data'!H9)^(1/5)-1</f>
        <v>0.2599479662251778</v>
      </c>
      <c r="F11" s="3">
        <f>(E11-$B$1)/('Fund Master Data'!G9/100)</f>
        <v>0.94875298447843404</v>
      </c>
      <c r="G11" s="2">
        <f>E11-($B$1+'Fund Master Data'!F9*($B$2-$B$1))</f>
        <v>0.12186796622517782</v>
      </c>
      <c r="H11" s="3">
        <f>'Fund Master Data'!F9</f>
        <v>1.18</v>
      </c>
      <c r="I11">
        <f>'Fund Master Data'!G9</f>
        <v>19.809999999999999</v>
      </c>
      <c r="J11" s="2">
        <f>'Fund Master Data'!E9</f>
        <v>7.4000000000000003E-3</v>
      </c>
      <c r="K11" s="3">
        <f t="shared" si="0"/>
        <v>14425.260227040033</v>
      </c>
    </row>
    <row r="12" spans="1:11" x14ac:dyDescent="0.3">
      <c r="A12" t="str">
        <f>'Fund Master Data'!A10</f>
        <v>HDFC Mid-Cap Opportunities</v>
      </c>
      <c r="B12" t="str">
        <f>'Fund Master Data'!B10</f>
        <v>Equity</v>
      </c>
      <c r="C12" s="27">
        <f>('Fund Master Data'!K10/'Fund Master Data'!J10)-1</f>
        <v>6.0543060888645082</v>
      </c>
      <c r="D12" s="27">
        <f>('Fund Master Data'!K10/'Fund Master Data'!I10)^(1/3)-1</f>
        <v>2.7190640108638666</v>
      </c>
      <c r="E12" s="27">
        <f>('Fund Master Data'!K10/'Fund Master Data'!H10)^(1/5)-1</f>
        <v>0.19487206875592622</v>
      </c>
      <c r="F12" s="3">
        <f>(E12-$B$1)/('Fund Master Data'!G10/100)</f>
        <v>0.67401025099246414</v>
      </c>
      <c r="G12" s="2">
        <f>E12-($B$1+'Fund Master Data'!F10*($B$2-$B$1))</f>
        <v>6.0152068755926213E-2</v>
      </c>
      <c r="H12" s="3">
        <f>'Fund Master Data'!F10</f>
        <v>1.1200000000000001</v>
      </c>
      <c r="I12">
        <f>'Fund Master Data'!G10</f>
        <v>18.23</v>
      </c>
      <c r="J12" s="2">
        <f>'Fund Master Data'!E10</f>
        <v>1.6500000000000001E-2</v>
      </c>
      <c r="K12" s="3">
        <f t="shared" si="0"/>
        <v>18370.334882901003</v>
      </c>
    </row>
    <row r="13" spans="1:11" x14ac:dyDescent="0.3">
      <c r="A13" t="str">
        <f>'Fund Master Data'!A11</f>
        <v>Aditya Birla PSU Equity</v>
      </c>
      <c r="B13" t="str">
        <f>'Fund Master Data'!B11</f>
        <v>Equity</v>
      </c>
      <c r="C13" s="27">
        <f>('Fund Master Data'!K11/'Fund Master Data'!J11)-1</f>
        <v>1.7309236947791167</v>
      </c>
      <c r="D13" s="27">
        <f>('Fund Master Data'!K11/'Fund Master Data'!I11)^(1/3)-1</f>
        <v>1.9854366638550327</v>
      </c>
      <c r="E13" s="27">
        <f>('Fund Master Data'!K11/'Fund Master Data'!H11)^(1/5)-1</f>
        <v>0.26895930766443543</v>
      </c>
      <c r="F13" s="3">
        <f>(E13-$B$1)/('Fund Master Data'!G11/100)</f>
        <v>0.87889026177793583</v>
      </c>
      <c r="G13" s="2">
        <f>E13-($B$1+'Fund Master Data'!F11*($B$2-$B$1))</f>
        <v>0.12863930766443543</v>
      </c>
      <c r="H13" s="3">
        <f>'Fund Master Data'!F11</f>
        <v>1.22</v>
      </c>
      <c r="I13">
        <f>'Fund Master Data'!G11</f>
        <v>22.41</v>
      </c>
      <c r="J13" s="2">
        <f>'Fund Master Data'!E11</f>
        <v>5.1000000000000004E-3</v>
      </c>
      <c r="K13" s="3">
        <f t="shared" si="0"/>
        <v>5613.844617801773</v>
      </c>
    </row>
    <row r="14" spans="1:11" x14ac:dyDescent="0.3">
      <c r="A14" t="str">
        <f>'Fund Master Data'!A12</f>
        <v>DSP Midcap Fund</v>
      </c>
      <c r="B14" t="str">
        <f>'Fund Master Data'!B12</f>
        <v>Equity</v>
      </c>
      <c r="C14" s="27">
        <f>('Fund Master Data'!K12/'Fund Master Data'!J12)-1</f>
        <v>4.8675799086757987</v>
      </c>
      <c r="D14" s="27">
        <f>('Fund Master Data'!K12/'Fund Master Data'!I12)^(1/3)-1</f>
        <v>1.3044711537066607</v>
      </c>
      <c r="E14" s="27">
        <f>('Fund Master Data'!K12/'Fund Master Data'!H12)^(1/5)-1</f>
        <v>0.1838976787911426</v>
      </c>
      <c r="F14" s="3">
        <f>(E14-$B$1)/('Fund Master Data'!G12/100)</f>
        <v>0.63868538122798291</v>
      </c>
      <c r="G14" s="2">
        <f>E14-($B$1+'Fund Master Data'!F12*($B$2-$B$1))</f>
        <v>5.141767879114259E-2</v>
      </c>
      <c r="H14" s="3">
        <f>'Fund Master Data'!F12</f>
        <v>1.08</v>
      </c>
      <c r="I14">
        <f>'Fund Master Data'!G12</f>
        <v>17.52</v>
      </c>
      <c r="J14" s="2">
        <f>'Fund Master Data'!E12</f>
        <v>8.5000000000000006E-3</v>
      </c>
      <c r="K14" s="3">
        <f t="shared" si="0"/>
        <v>14782.540177649942</v>
      </c>
    </row>
    <row r="15" spans="1:11" x14ac:dyDescent="0.3">
      <c r="A15" t="str">
        <f>'Fund Master Data'!A13</f>
        <v>SBI Magnum Gilt Fund</v>
      </c>
      <c r="B15" t="str">
        <f>'Fund Master Data'!B13</f>
        <v>Debt</v>
      </c>
      <c r="C15" s="27">
        <f>('Fund Master Data'!K13/'Fund Master Data'!J13)-1</f>
        <v>9.3023255813953432E-2</v>
      </c>
      <c r="D15" s="27">
        <f>('Fund Master Data'!K13/'Fund Master Data'!I13)^(1/3)-1</f>
        <v>6.4170176581825888E-2</v>
      </c>
      <c r="E15" s="27">
        <f>('Fund Master Data'!K13/'Fund Master Data'!H13)^(1/5)-1</f>
        <v>7.0066111031416467E-2</v>
      </c>
      <c r="F15" s="3">
        <f>(E15-$B$1)/('Fund Master Data'!G13/100)</f>
        <v>-4.6044975442464942E-2</v>
      </c>
      <c r="G15" s="2">
        <f>E15-($B$1+'Fund Master Data'!F13*($B$2-$B$1))</f>
        <v>-1.2013888968583533E-2</v>
      </c>
      <c r="H15" s="3">
        <f>'Fund Master Data'!F13</f>
        <v>0.18</v>
      </c>
      <c r="I15">
        <f>'Fund Master Data'!G13</f>
        <v>4.2</v>
      </c>
      <c r="J15" s="2">
        <f>'Fund Master Data'!E13</f>
        <v>4.5999999999999999E-3</v>
      </c>
      <c r="K15" s="3">
        <f t="shared" si="0"/>
        <v>241.18630151841117</v>
      </c>
    </row>
    <row r="16" spans="1:11" x14ac:dyDescent="0.3">
      <c r="A16" t="str">
        <f>'Fund Master Data'!A14</f>
        <v>HDFC Corporate Bond Fund</v>
      </c>
      <c r="B16" t="str">
        <f>'Fund Master Data'!B14</f>
        <v>Debt</v>
      </c>
      <c r="C16" s="27">
        <f>('Fund Master Data'!K14/'Fund Master Data'!J14)-1</f>
        <v>0.10852713178294571</v>
      </c>
      <c r="D16" s="27">
        <f>('Fund Master Data'!K14/'Fund Master Data'!I14)^(1/3)-1</f>
        <v>8.4857439638630572E-2</v>
      </c>
      <c r="E16" s="27">
        <f>('Fund Master Data'!K14/'Fund Master Data'!H14)^(1/5)-1</f>
        <v>8.985976000895346E-2</v>
      </c>
      <c r="F16" s="3">
        <f>(E16-$B$1)/('Fund Master Data'!G14/100)</f>
        <v>0.46999368444614381</v>
      </c>
      <c r="G16" s="2">
        <f>E16-($B$1+'Fund Master Data'!F14*($B$2-$B$1))</f>
        <v>5.5397600089534677E-3</v>
      </c>
      <c r="H16" s="3">
        <f>'Fund Master Data'!F14</f>
        <v>0.22</v>
      </c>
      <c r="I16">
        <f>'Fund Master Data'!G14</f>
        <v>3.8</v>
      </c>
      <c r="J16" s="2">
        <f>'Fund Master Data'!E14</f>
        <v>3.8E-3</v>
      </c>
      <c r="K16" s="3">
        <f t="shared" si="0"/>
        <v>361.00042275354326</v>
      </c>
    </row>
    <row r="17" spans="1:11" x14ac:dyDescent="0.3">
      <c r="A17" t="str">
        <f>'Fund Master Data'!A15</f>
        <v>Kotak Bond Short Term</v>
      </c>
      <c r="B17" t="str">
        <f>'Fund Master Data'!B15</f>
        <v>Debt</v>
      </c>
      <c r="C17" s="27">
        <f>('Fund Master Data'!K15/'Fund Master Data'!J15)-1</f>
        <v>9.4017094017094127E-2</v>
      </c>
      <c r="D17" s="27">
        <f>('Fund Master Data'!K15/'Fund Master Data'!I15)^(1/3)-1</f>
        <v>6.6561337677469412E-2</v>
      </c>
      <c r="E17" s="27">
        <f>('Fund Master Data'!K15/'Fund Master Data'!H15)^(1/5)-1</f>
        <v>6.8278353688437932E-2</v>
      </c>
      <c r="F17" s="3">
        <f>(E17-$B$1)/('Fund Master Data'!G15/100)</f>
        <v>-0.12833263143317458</v>
      </c>
      <c r="G17" s="2">
        <f>E17-($B$1+'Fund Master Data'!F15*($B$2-$B$1))</f>
        <v>-1.2121646311562068E-2</v>
      </c>
      <c r="H17" s="3">
        <f>'Fund Master Data'!F15</f>
        <v>0.15</v>
      </c>
      <c r="I17">
        <f>'Fund Master Data'!G15</f>
        <v>2.9</v>
      </c>
      <c r="J17" s="2">
        <f>'Fund Master Data'!E15</f>
        <v>4.1999999999999997E-3</v>
      </c>
      <c r="K17" s="3">
        <f t="shared" si="0"/>
        <v>240.55303785926918</v>
      </c>
    </row>
    <row r="18" spans="1:11" x14ac:dyDescent="0.3">
      <c r="A18" t="str">
        <f>'Fund Master Data'!A16</f>
        <v>Axis Short Term Fund</v>
      </c>
      <c r="B18" t="str">
        <f>'Fund Master Data'!B16</f>
        <v>Debt</v>
      </c>
      <c r="C18" s="27">
        <f>('Fund Master Data'!K16/'Fund Master Data'!J16)-1</f>
        <v>0.1015625</v>
      </c>
      <c r="D18" s="27">
        <f>('Fund Master Data'!K16/'Fund Master Data'!I16)^(1/3)-1</f>
        <v>7.3424294788273059E-2</v>
      </c>
      <c r="E18" s="27">
        <f>('Fund Master Data'!K16/'Fund Master Data'!H16)^(1/5)-1</f>
        <v>7.767913782054614E-2</v>
      </c>
      <c r="F18" s="3">
        <f>(E18-$B$1)/('Fund Master Data'!G16/100)</f>
        <v>0.22716551282184583</v>
      </c>
      <c r="G18" s="2">
        <f>E18-($B$1+'Fund Master Data'!F16*($B$2-$B$1))</f>
        <v>-1.0408621794538581E-3</v>
      </c>
      <c r="H18" s="3">
        <f>'Fund Master Data'!F16</f>
        <v>0.12</v>
      </c>
      <c r="I18">
        <f>'Fund Master Data'!G16</f>
        <v>2.5</v>
      </c>
      <c r="J18" s="2">
        <f>'Fund Master Data'!E16</f>
        <v>3.5000000000000001E-3</v>
      </c>
      <c r="K18" s="3">
        <f t="shared" si="0"/>
        <v>310.65153397451223</v>
      </c>
    </row>
    <row r="19" spans="1:11" x14ac:dyDescent="0.3">
      <c r="A19" t="str">
        <f>'Fund Master Data'!A17</f>
        <v>ICICI Pru Short Term Fund</v>
      </c>
      <c r="B19" t="str">
        <f>'Fund Master Data'!B17</f>
        <v>Debt</v>
      </c>
      <c r="C19" s="27">
        <f>('Fund Master Data'!K17/'Fund Master Data'!J17)-1</f>
        <v>0.1040723981900451</v>
      </c>
      <c r="D19" s="27">
        <f>('Fund Master Data'!K17/'Fund Master Data'!I17)^(1/3)-1</f>
        <v>7.0316572490863649E-2</v>
      </c>
      <c r="E19" s="27">
        <f>('Fund Master Data'!K17/'Fund Master Data'!H17)^(1/5)-1</f>
        <v>7.1195512500073832E-2</v>
      </c>
      <c r="F19" s="3">
        <f>(E19-$B$1)/('Fund Master Data'!G17/100)</f>
        <v>-2.5951209675037501E-2</v>
      </c>
      <c r="G19" s="2">
        <f>E19-($B$1+'Fund Master Data'!F17*($B$2-$B$1))</f>
        <v>-9.7644874999261583E-3</v>
      </c>
      <c r="H19" s="3">
        <f>'Fund Master Data'!F17</f>
        <v>0.16</v>
      </c>
      <c r="I19">
        <f>'Fund Master Data'!G17</f>
        <v>3.1</v>
      </c>
      <c r="J19" s="2">
        <f>'Fund Master Data'!E17</f>
        <v>4.1000000000000003E-3</v>
      </c>
      <c r="K19" s="3">
        <f t="shared" si="0"/>
        <v>281.88568368335535</v>
      </c>
    </row>
    <row r="20" spans="1:11" x14ac:dyDescent="0.3">
      <c r="A20" t="str">
        <f>'Fund Master Data'!A18</f>
        <v>HDFC Hybrid Equity Fund</v>
      </c>
      <c r="B20" t="str">
        <f>'Fund Master Data'!B18</f>
        <v>Hybrid</v>
      </c>
      <c r="C20" s="27">
        <f>('Fund Master Data'!K18/'Fund Master Data'!J18)-1</f>
        <v>0.20359281437125754</v>
      </c>
      <c r="D20" s="27">
        <f>('Fund Master Data'!K18/'Fund Master Data'!I18)^(1/3)-1</f>
        <v>0.14047452132923177</v>
      </c>
      <c r="E20" s="27">
        <f>('Fund Master Data'!K18/'Fund Master Data'!H18)^(1/5)-1</f>
        <v>0.13545333420088368</v>
      </c>
      <c r="F20" s="3">
        <f>(E20-$B$1)/('Fund Master Data'!G18/100)</f>
        <v>0.61012821347003543</v>
      </c>
      <c r="G20" s="2">
        <f>E20-($B$1+'Fund Master Data'!F18*($B$2-$B$1))</f>
        <v>2.3133334200883676E-2</v>
      </c>
      <c r="H20" s="3">
        <f>'Fund Master Data'!F18</f>
        <v>0.72</v>
      </c>
      <c r="I20">
        <f>'Fund Master Data'!G18</f>
        <v>10.4</v>
      </c>
      <c r="J20" s="2">
        <f>'Fund Master Data'!E18</f>
        <v>1.0800000000000001E-2</v>
      </c>
      <c r="K20" s="3">
        <f t="shared" si="0"/>
        <v>704.58357425522502</v>
      </c>
    </row>
    <row r="21" spans="1:11" x14ac:dyDescent="0.3">
      <c r="A21" t="str">
        <f>'Fund Master Data'!A19</f>
        <v>SBI Equity Hybrid Fund</v>
      </c>
      <c r="B21" t="str">
        <f>'Fund Master Data'!B19</f>
        <v>Hybrid</v>
      </c>
      <c r="C21" s="27">
        <f>('Fund Master Data'!K19/'Fund Master Data'!J19)-1</f>
        <v>0.18342151675484986</v>
      </c>
      <c r="D21" s="27">
        <f>('Fund Master Data'!K19/'Fund Master Data'!I19)^(1/3)-1</f>
        <v>0.12922079653783602</v>
      </c>
      <c r="E21" s="27">
        <f>('Fund Master Data'!K19/'Fund Master Data'!H19)^(1/5)-1</f>
        <v>0.1261256784428153</v>
      </c>
      <c r="F21" s="3">
        <f>(E21-$B$1)/('Fund Master Data'!G19/100)</f>
        <v>0.48326498609656532</v>
      </c>
      <c r="G21" s="2">
        <f>E21-($B$1+'Fund Master Data'!F19*($B$2-$B$1))</f>
        <v>1.2125678442815299E-2</v>
      </c>
      <c r="H21" s="3">
        <f>'Fund Master Data'!F19</f>
        <v>0.75</v>
      </c>
      <c r="I21">
        <f>'Fund Master Data'!G19</f>
        <v>11.2</v>
      </c>
      <c r="J21" s="2">
        <f>'Fund Master Data'!E19</f>
        <v>8.2000000000000007E-3</v>
      </c>
      <c r="K21" s="3">
        <f t="shared" si="0"/>
        <v>605.97218503685815</v>
      </c>
    </row>
    <row r="22" spans="1:11" x14ac:dyDescent="0.3">
      <c r="A22" t="str">
        <f>'Fund Master Data'!A20</f>
        <v>Mirae Asset Hybrid Equity</v>
      </c>
      <c r="B22" t="str">
        <f>'Fund Master Data'!B20</f>
        <v>Hybrid</v>
      </c>
      <c r="C22" s="27">
        <f>('Fund Master Data'!K20/'Fund Master Data'!J20)-1</f>
        <v>0.22695035460992918</v>
      </c>
      <c r="D22" s="27">
        <f>('Fund Master Data'!K20/'Fund Master Data'!I20)^(1/3)-1</f>
        <v>0.1559596996340431</v>
      </c>
      <c r="E22" s="27">
        <f>('Fund Master Data'!K20/'Fund Master Data'!H20)^(1/5)-1</f>
        <v>0.15545587044727061</v>
      </c>
      <c r="F22" s="3">
        <f>(E22-$B$1)/('Fund Master Data'!G20/100)</f>
        <v>0.77273954117843147</v>
      </c>
      <c r="G22" s="2">
        <f>E22-($B$1+'Fund Master Data'!F20*($B$2-$B$1))</f>
        <v>4.4255870447270612E-2</v>
      </c>
      <c r="H22" s="3">
        <f>'Fund Master Data'!F20</f>
        <v>0.7</v>
      </c>
      <c r="I22">
        <f>'Fund Master Data'!G20</f>
        <v>10.8</v>
      </c>
      <c r="J22" s="2">
        <f>'Fund Master Data'!E20</f>
        <v>4.5999999999999999E-3</v>
      </c>
      <c r="K22" s="3">
        <f t="shared" si="0"/>
        <v>844.52825681873662</v>
      </c>
    </row>
    <row r="23" spans="1:11" x14ac:dyDescent="0.3">
      <c r="A23" t="str">
        <f>'Fund Master Data'!A21</f>
        <v>Kotak Equity Hybrid Fund</v>
      </c>
      <c r="B23" t="str">
        <f>'Fund Master Data'!B21</f>
        <v>Hybrid</v>
      </c>
      <c r="C23" s="27">
        <f>('Fund Master Data'!K21/'Fund Master Data'!J21)-1</f>
        <v>0.21875</v>
      </c>
      <c r="D23" s="27">
        <f>('Fund Master Data'!K21/'Fund Master Data'!I21)^(1/3)-1</f>
        <v>0.14681850141167563</v>
      </c>
      <c r="E23" s="27">
        <f>('Fund Master Data'!K21/'Fund Master Data'!H21)^(1/5)-1</f>
        <v>0.13965883208664787</v>
      </c>
      <c r="F23" s="3">
        <f>(E23-$B$1)/('Fund Master Data'!G21/100)</f>
        <v>0.66332188320243013</v>
      </c>
      <c r="G23" s="2">
        <f>E23-($B$1+'Fund Master Data'!F21*($B$2-$B$1))</f>
        <v>2.9578832086647855E-2</v>
      </c>
      <c r="H23" s="3">
        <f>'Fund Master Data'!F21</f>
        <v>0.68</v>
      </c>
      <c r="I23">
        <f>'Fund Master Data'!G21</f>
        <v>10.199999999999999</v>
      </c>
      <c r="J23" s="2">
        <f>'Fund Master Data'!E21</f>
        <v>5.7999999999999996E-3</v>
      </c>
      <c r="K23" s="3">
        <f t="shared" si="0"/>
        <v>771.51937158804083</v>
      </c>
    </row>
    <row r="24" spans="1:11" x14ac:dyDescent="0.3">
      <c r="A24" t="str">
        <f>'Fund Master Data'!A22</f>
        <v>Canara Robeco Equity Hybrid</v>
      </c>
      <c r="B24" t="str">
        <f>'Fund Master Data'!B22</f>
        <v>Hybrid</v>
      </c>
      <c r="C24" s="27">
        <f>('Fund Master Data'!K22/'Fund Master Data'!J22)-1</f>
        <v>0.17321688500727794</v>
      </c>
      <c r="D24" s="27">
        <f>('Fund Master Data'!K22/'Fund Master Data'!I22)^(1/3)-1</f>
        <v>0.12143197723278121</v>
      </c>
      <c r="E24" s="27">
        <f>('Fund Master Data'!K22/'Fund Master Data'!H22)^(1/5)-1</f>
        <v>0.12066043609125732</v>
      </c>
      <c r="F24" s="3">
        <f>(E24-$B$1)/('Fund Master Data'!G22/100)</f>
        <v>0.42313422688049845</v>
      </c>
      <c r="G24" s="2">
        <f>E24-($B$1+'Fund Master Data'!F22*($B$2-$B$1))</f>
        <v>7.2204360912573179E-3</v>
      </c>
      <c r="H24" s="3">
        <f>'Fund Master Data'!F22</f>
        <v>0.74</v>
      </c>
      <c r="I24">
        <f>'Fund Master Data'!G22</f>
        <v>11.5</v>
      </c>
      <c r="J24" s="2">
        <f>'Fund Master Data'!E22</f>
        <v>6.6E-3</v>
      </c>
      <c r="K24" s="3">
        <f t="shared" si="0"/>
        <v>558.2373323708257</v>
      </c>
    </row>
    <row r="25" spans="1:11" x14ac:dyDescent="0.3">
      <c r="A25" s="29" t="s">
        <v>57</v>
      </c>
      <c r="C25" s="30">
        <f>AVERAGE(C5:C24)</f>
        <v>1.9983538772835501</v>
      </c>
      <c r="D25" s="30">
        <f>AVERAGE(D5:D24)</f>
        <v>0.78672587739108335</v>
      </c>
      <c r="E25" s="30">
        <f>AVERAGE(E5:E24)</f>
        <v>0.13567042040707872</v>
      </c>
      <c r="F25" s="25">
        <f>AVERAGE(F5:F24)</f>
        <v>0.44067234887779272</v>
      </c>
      <c r="G25" s="24">
        <f>AVERAGE(G5:G24)</f>
        <v>2.2202420407078684E-2</v>
      </c>
      <c r="H25" s="22"/>
      <c r="I25" s="25">
        <f>AVERAGE(I5:I24)</f>
        <v>11.739500000000001</v>
      </c>
      <c r="J25" s="24">
        <f>AVERAGE(J5:J24)</f>
        <v>7.1650000000000004E-3</v>
      </c>
      <c r="K25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2A3D-14AE-4C21-A8E7-D9FA85B6573A}">
  <dimension ref="A3:I23"/>
  <sheetViews>
    <sheetView workbookViewId="0">
      <selection activeCell="C24" sqref="C24"/>
    </sheetView>
  </sheetViews>
  <sheetFormatPr defaultRowHeight="14.4" x14ac:dyDescent="0.3"/>
  <cols>
    <col min="1" max="1" width="23.6640625" bestFit="1" customWidth="1"/>
    <col min="3" max="3" width="12" bestFit="1" customWidth="1"/>
    <col min="8" max="8" width="10.44140625" bestFit="1" customWidth="1"/>
  </cols>
  <sheetData>
    <row r="3" spans="1:9" x14ac:dyDescent="0.3">
      <c r="A3" t="s">
        <v>1</v>
      </c>
      <c r="B3" t="s">
        <v>2</v>
      </c>
      <c r="C3" t="s">
        <v>51</v>
      </c>
      <c r="D3" t="s">
        <v>58</v>
      </c>
      <c r="E3" t="s">
        <v>53</v>
      </c>
      <c r="F3" t="s">
        <v>6</v>
      </c>
      <c r="G3" t="s">
        <v>59</v>
      </c>
      <c r="H3" t="s">
        <v>60</v>
      </c>
      <c r="I3" t="s">
        <v>61</v>
      </c>
    </row>
    <row r="4" spans="1:9" x14ac:dyDescent="0.3">
      <c r="A4" t="str">
        <f>'Financial Calculations'!A5</f>
        <v>Mirae Asset Large Cap Fund</v>
      </c>
      <c r="B4" t="str">
        <f>'Financial Calculations'!B5</f>
        <v>Equity</v>
      </c>
      <c r="C4" s="2">
        <f>'Financial Calculations'!E5</f>
        <v>0.16232456733454326</v>
      </c>
      <c r="D4" s="3">
        <f>'Financial Calculations'!F5</f>
        <v>0.6360885023559385</v>
      </c>
      <c r="E4" s="2">
        <f>'Financial Calculations'!G5</f>
        <v>3.6004567334543269E-2</v>
      </c>
      <c r="F4" s="3">
        <f>'Financial Calculations'!H5</f>
        <v>0.97</v>
      </c>
      <c r="G4">
        <f>'Financial Calculations'!I5</f>
        <v>14.2</v>
      </c>
      <c r="H4" t="str">
        <f>IF(AND(C4&gt;='Financial Calculations'!$C$25,G4&lt;'Financial Calculations'!$I$25),
"⭐ STAR",
IF(AND(C4&gt;='Financial Calculations'!$C$25,G4&gt;='Financial Calculations'!$I$25),
"🔥 AGGRESSIVE",
IF(AND(C4&lt;'Financial Calculations'!$C$25,G4&lt;'Financial Calculations'!$I$25),
"💙 STEADY",
"⚠️ AVOID")))</f>
        <v>⚠️ AVOID</v>
      </c>
      <c r="I4">
        <f>RANK(C4,$C$4:$C$23,0)</f>
        <v>5</v>
      </c>
    </row>
    <row r="5" spans="1:9" x14ac:dyDescent="0.3">
      <c r="A5" t="str">
        <f>'Financial Calculations'!A6</f>
        <v>Axis Bluechip Fund</v>
      </c>
      <c r="B5" t="str">
        <f>'Financial Calculations'!B6</f>
        <v>Equity</v>
      </c>
      <c r="C5" s="2">
        <f>'Financial Calculations'!E6</f>
        <v>8.3045510263880518E-2</v>
      </c>
      <c r="D5" s="3">
        <f>'Financial Calculations'!F6</f>
        <v>7.986630704179698E-2</v>
      </c>
      <c r="E5" s="2">
        <f>'Financial Calculations'!G6</f>
        <v>-4.0474489736119487E-2</v>
      </c>
      <c r="F5" s="3">
        <f>'Financial Calculations'!H6</f>
        <v>0.92</v>
      </c>
      <c r="G5">
        <f>'Financial Calculations'!I6</f>
        <v>13.83</v>
      </c>
      <c r="H5" t="str">
        <f>IF(AND(C5&gt;='Financial Calculations'!$C$25,G5&lt;'Financial Calculations'!$I$25),
"⭐ STAR",
IF(AND(C5&gt;='Financial Calculations'!$C$25,G5&gt;='Financial Calculations'!$I$25),
"🔥 AGGRESSIVE",
IF(AND(C5&lt;'Financial Calculations'!$C$25,G5&lt;'Financial Calculations'!$I$25),
"💙 STEADY",
"⚠️ AVOID")))</f>
        <v>⚠️ AVOID</v>
      </c>
      <c r="I5">
        <f t="shared" ref="I5:I23" si="0">RANK(C5,$C$4:$C$23,0)</f>
        <v>16</v>
      </c>
    </row>
    <row r="6" spans="1:9" x14ac:dyDescent="0.3">
      <c r="A6" t="str">
        <f>'Financial Calculations'!A7</f>
        <v>HDFC Top 100 Fund</v>
      </c>
      <c r="B6" t="str">
        <f>'Financial Calculations'!B7</f>
        <v>Equity</v>
      </c>
      <c r="C6" s="2">
        <f>'Financial Calculations'!E7</f>
        <v>0.13150726518979994</v>
      </c>
      <c r="D6" s="3">
        <f>'Financial Calculations'!F7</f>
        <v>0.38096840710499325</v>
      </c>
      <c r="E6" s="2">
        <f>'Financial Calculations'!G7</f>
        <v>7.0726518979993824E-4</v>
      </c>
      <c r="F6" s="3">
        <f>'Financial Calculations'!H7</f>
        <v>1.05</v>
      </c>
      <c r="G6">
        <f>'Financial Calculations'!I7</f>
        <v>15.62</v>
      </c>
      <c r="H6" t="str">
        <f>IF(AND(C6&gt;='Financial Calculations'!$C$25,G6&lt;'Financial Calculations'!$I$25),
"⭐ STAR",
IF(AND(C6&gt;='Financial Calculations'!$C$25,G6&gt;='Financial Calculations'!$I$25),
"🔥 AGGRESSIVE",
IF(AND(C6&lt;'Financial Calculations'!$C$25,G6&lt;'Financial Calculations'!$I$25),
"💙 STEADY",
"⚠️ AVOID")))</f>
        <v>⚠️ AVOID</v>
      </c>
      <c r="I6">
        <f t="shared" si="0"/>
        <v>10</v>
      </c>
    </row>
    <row r="7" spans="1:9" x14ac:dyDescent="0.3">
      <c r="A7" t="str">
        <f>'Financial Calculations'!A8</f>
        <v>Kotak Standard Multicap</v>
      </c>
      <c r="B7" t="str">
        <f>'Financial Calculations'!B8</f>
        <v>Equity</v>
      </c>
      <c r="C7" s="2">
        <f>'Financial Calculations'!E8</f>
        <v>0.11914247955063595</v>
      </c>
      <c r="D7" s="3">
        <f>'Financial Calculations'!F8</f>
        <v>0.31575672840345587</v>
      </c>
      <c r="E7" s="2">
        <f>'Financial Calculations'!G8</f>
        <v>-9.9775204493640635E-3</v>
      </c>
      <c r="F7" s="3">
        <f>'Financial Calculations'!H8</f>
        <v>1.02</v>
      </c>
      <c r="G7">
        <f>'Financial Calculations'!I8</f>
        <v>14.93</v>
      </c>
      <c r="H7" t="str">
        <f>IF(AND(C7&gt;='Financial Calculations'!$C$25,G7&lt;'Financial Calculations'!$I$25),
"⭐ STAR",
IF(AND(C7&gt;='Financial Calculations'!$C$25,G7&gt;='Financial Calculations'!$I$25),
"🔥 AGGRESSIVE",
IF(AND(C7&lt;'Financial Calculations'!$C$25,G7&lt;'Financial Calculations'!$I$25),
"💙 STEADY",
"⚠️ AVOID")))</f>
        <v>⚠️ AVOID</v>
      </c>
      <c r="I7">
        <f t="shared" si="0"/>
        <v>13</v>
      </c>
    </row>
    <row r="8" spans="1:9" x14ac:dyDescent="0.3">
      <c r="A8" t="str">
        <f>'Financial Calculations'!A9</f>
        <v>SBI Blue Chip Fund</v>
      </c>
      <c r="B8" t="str">
        <f>'Financial Calculations'!B9</f>
        <v>Equity</v>
      </c>
      <c r="C8" s="2">
        <f>'Financial Calculations'!E9</f>
        <v>0.11036243287290848</v>
      </c>
      <c r="D8" s="3">
        <f>'Financial Calculations'!F9</f>
        <v>0.27168861808008843</v>
      </c>
      <c r="E8" s="2">
        <f>'Financial Calculations'!G9</f>
        <v>-1.4837567127091528E-2</v>
      </c>
      <c r="F8" s="3">
        <f>'Financial Calculations'!H9</f>
        <v>0.95</v>
      </c>
      <c r="G8">
        <f>'Financial Calculations'!I9</f>
        <v>14.12</v>
      </c>
      <c r="H8" t="str">
        <f>IF(AND(C8&gt;='Financial Calculations'!$C$25,G8&lt;'Financial Calculations'!$I$25),
"⭐ STAR",
IF(AND(C8&gt;='Financial Calculations'!$C$25,G8&gt;='Financial Calculations'!$I$25),
"🔥 AGGRESSIVE",
IF(AND(C8&lt;'Financial Calculations'!$C$25,G8&lt;'Financial Calculations'!$I$25),
"💙 STEADY",
"⚠️ AVOID")))</f>
        <v>⚠️ AVOID</v>
      </c>
      <c r="I8">
        <f t="shared" si="0"/>
        <v>14</v>
      </c>
    </row>
    <row r="9" spans="1:9" x14ac:dyDescent="0.3">
      <c r="A9" t="str">
        <f>'Financial Calculations'!A10</f>
        <v>Parag Parikh Flexi Cap</v>
      </c>
      <c r="B9" t="str">
        <f>'Financial Calculations'!B10</f>
        <v>Equity</v>
      </c>
      <c r="C9" s="2">
        <f>'Financial Calculations'!E10</f>
        <v>0.1449161051748209</v>
      </c>
      <c r="D9" s="3">
        <f>'Financial Calculations'!F10</f>
        <v>0.53932030454749191</v>
      </c>
      <c r="E9" s="2">
        <f>'Financial Calculations'!G10</f>
        <v>2.3636105174820898E-2</v>
      </c>
      <c r="F9" s="3">
        <f>'Financial Calculations'!H10</f>
        <v>0.88</v>
      </c>
      <c r="G9">
        <f>'Financial Calculations'!I10</f>
        <v>13.52</v>
      </c>
      <c r="H9" t="str">
        <f>IF(AND(C9&gt;='Financial Calculations'!$C$25,G9&lt;'Financial Calculations'!$I$25),
"⭐ STAR",
IF(AND(C9&gt;='Financial Calculations'!$C$25,G9&gt;='Financial Calculations'!$I$25),
"🔥 AGGRESSIVE",
IF(AND(C9&lt;'Financial Calculations'!$C$25,G9&lt;'Financial Calculations'!$I$25),
"💙 STEADY",
"⚠️ AVOID")))</f>
        <v>⚠️ AVOID</v>
      </c>
      <c r="I9">
        <f t="shared" si="0"/>
        <v>7</v>
      </c>
    </row>
    <row r="10" spans="1:9" x14ac:dyDescent="0.3">
      <c r="A10" t="str">
        <f>'Financial Calculations'!A11</f>
        <v>Nippon India Small Cap</v>
      </c>
      <c r="B10" t="str">
        <f>'Financial Calculations'!B11</f>
        <v>Equity</v>
      </c>
      <c r="C10" s="2">
        <f>'Financial Calculations'!E11</f>
        <v>0.2599479662251778</v>
      </c>
      <c r="D10" s="3">
        <f>'Financial Calculations'!F11</f>
        <v>0.94875298447843404</v>
      </c>
      <c r="E10" s="2">
        <f>'Financial Calculations'!G11</f>
        <v>0.12186796622517782</v>
      </c>
      <c r="F10" s="3">
        <f>'Financial Calculations'!H11</f>
        <v>1.18</v>
      </c>
      <c r="G10">
        <f>'Financial Calculations'!I11</f>
        <v>19.809999999999999</v>
      </c>
      <c r="H10" t="str">
        <f>IF(AND(C10&gt;='Financial Calculations'!$C$25,G10&lt;'Financial Calculations'!$I$25),
"⭐ STAR",
IF(AND(C10&gt;='Financial Calculations'!$C$25,G10&gt;='Financial Calculations'!$I$25),
"🔥 AGGRESSIVE",
IF(AND(C10&lt;'Financial Calculations'!$C$25,G10&lt;'Financial Calculations'!$I$25),
"💙 STEADY",
"⚠️ AVOID")))</f>
        <v>⚠️ AVOID</v>
      </c>
      <c r="I10">
        <f t="shared" si="0"/>
        <v>2</v>
      </c>
    </row>
    <row r="11" spans="1:9" x14ac:dyDescent="0.3">
      <c r="A11" t="str">
        <f>'Financial Calculations'!A12</f>
        <v>HDFC Mid-Cap Opportunities</v>
      </c>
      <c r="B11" t="str">
        <f>'Financial Calculations'!B12</f>
        <v>Equity</v>
      </c>
      <c r="C11" s="2">
        <f>'Financial Calculations'!E12</f>
        <v>0.19487206875592622</v>
      </c>
      <c r="D11" s="3">
        <f>'Financial Calculations'!F12</f>
        <v>0.67401025099246414</v>
      </c>
      <c r="E11" s="2">
        <f>'Financial Calculations'!G12</f>
        <v>6.0152068755926213E-2</v>
      </c>
      <c r="F11" s="3">
        <f>'Financial Calculations'!H12</f>
        <v>1.1200000000000001</v>
      </c>
      <c r="G11">
        <f>'Financial Calculations'!I12</f>
        <v>18.23</v>
      </c>
      <c r="H11" t="str">
        <f>IF(AND(C11&gt;='Financial Calculations'!$C$25,G11&lt;'Financial Calculations'!$I$25),
"⭐ STAR",
IF(AND(C11&gt;='Financial Calculations'!$C$25,G11&gt;='Financial Calculations'!$I$25),
"🔥 AGGRESSIVE",
IF(AND(C11&lt;'Financial Calculations'!$C$25,G11&lt;'Financial Calculations'!$I$25),
"💙 STEADY",
"⚠️ AVOID")))</f>
        <v>⚠️ AVOID</v>
      </c>
      <c r="I11">
        <f t="shared" si="0"/>
        <v>3</v>
      </c>
    </row>
    <row r="12" spans="1:9" x14ac:dyDescent="0.3">
      <c r="A12" t="str">
        <f>'Financial Calculations'!A13</f>
        <v>Aditya Birla PSU Equity</v>
      </c>
      <c r="B12" t="str">
        <f>'Financial Calculations'!B13</f>
        <v>Equity</v>
      </c>
      <c r="C12" s="2">
        <f>'Financial Calculations'!E13</f>
        <v>0.26895930766443543</v>
      </c>
      <c r="D12" s="3">
        <f>'Financial Calculations'!F13</f>
        <v>0.87889026177793583</v>
      </c>
      <c r="E12" s="2">
        <f>'Financial Calculations'!G13</f>
        <v>0.12863930766443543</v>
      </c>
      <c r="F12" s="3">
        <f>'Financial Calculations'!H13</f>
        <v>1.22</v>
      </c>
      <c r="G12">
        <f>'Financial Calculations'!I13</f>
        <v>22.41</v>
      </c>
      <c r="H12" t="str">
        <f>IF(AND(C12&gt;='Financial Calculations'!$C$25,G12&lt;'Financial Calculations'!$I$25),
"⭐ STAR",
IF(AND(C12&gt;='Financial Calculations'!$C$25,G12&gt;='Financial Calculations'!$I$25),
"🔥 AGGRESSIVE",
IF(AND(C12&lt;'Financial Calculations'!$C$25,G12&lt;'Financial Calculations'!$I$25),
"💙 STEADY",
"⚠️ AVOID")))</f>
        <v>⚠️ AVOID</v>
      </c>
      <c r="I12">
        <f t="shared" si="0"/>
        <v>1</v>
      </c>
    </row>
    <row r="13" spans="1:9" x14ac:dyDescent="0.3">
      <c r="A13" t="str">
        <f>'Financial Calculations'!A14</f>
        <v>DSP Midcap Fund</v>
      </c>
      <c r="B13" t="str">
        <f>'Financial Calculations'!B14</f>
        <v>Equity</v>
      </c>
      <c r="C13" s="2">
        <f>'Financial Calculations'!E14</f>
        <v>0.1838976787911426</v>
      </c>
      <c r="D13" s="3">
        <f>'Financial Calculations'!F14</f>
        <v>0.63868538122798291</v>
      </c>
      <c r="E13" s="2">
        <f>'Financial Calculations'!G14</f>
        <v>5.141767879114259E-2</v>
      </c>
      <c r="F13" s="3">
        <f>'Financial Calculations'!H14</f>
        <v>1.08</v>
      </c>
      <c r="G13">
        <f>'Financial Calculations'!I14</f>
        <v>17.52</v>
      </c>
      <c r="H13" t="str">
        <f>IF(AND(C13&gt;='Financial Calculations'!$C$25,G13&lt;'Financial Calculations'!$I$25),
"⭐ STAR",
IF(AND(C13&gt;='Financial Calculations'!$C$25,G13&gt;='Financial Calculations'!$I$25),
"🔥 AGGRESSIVE",
IF(AND(C13&lt;'Financial Calculations'!$C$25,G13&lt;'Financial Calculations'!$I$25),
"💙 STEADY",
"⚠️ AVOID")))</f>
        <v>⚠️ AVOID</v>
      </c>
      <c r="I13">
        <f t="shared" si="0"/>
        <v>4</v>
      </c>
    </row>
    <row r="14" spans="1:9" x14ac:dyDescent="0.3">
      <c r="A14" t="str">
        <f>'Financial Calculations'!A15</f>
        <v>SBI Magnum Gilt Fund</v>
      </c>
      <c r="B14" t="str">
        <f>'Financial Calculations'!B15</f>
        <v>Debt</v>
      </c>
      <c r="C14" s="2">
        <f>'Financial Calculations'!E15</f>
        <v>7.0066111031416467E-2</v>
      </c>
      <c r="D14" s="3">
        <f>'Financial Calculations'!F15</f>
        <v>-4.6044975442464942E-2</v>
      </c>
      <c r="E14" s="2">
        <f>'Financial Calculations'!G15</f>
        <v>-1.2013888968583533E-2</v>
      </c>
      <c r="F14" s="3">
        <f>'Financial Calculations'!H15</f>
        <v>0.18</v>
      </c>
      <c r="G14">
        <f>'Financial Calculations'!I15</f>
        <v>4.2</v>
      </c>
      <c r="H14" t="str">
        <f>IF(AND(C14&gt;='Financial Calculations'!$C$25,G14&lt;'Financial Calculations'!$I$25),
"⭐ STAR",
IF(AND(C14&gt;='Financial Calculations'!$C$25,G14&gt;='Financial Calculations'!$I$25),
"🔥 AGGRESSIVE",
IF(AND(C14&lt;'Financial Calculations'!$C$25,G14&lt;'Financial Calculations'!$I$25),
"💙 STEADY",
"⚠️ AVOID")))</f>
        <v>💙 STEADY</v>
      </c>
      <c r="I14">
        <f t="shared" si="0"/>
        <v>19</v>
      </c>
    </row>
    <row r="15" spans="1:9" x14ac:dyDescent="0.3">
      <c r="A15" t="str">
        <f>'Financial Calculations'!A16</f>
        <v>HDFC Corporate Bond Fund</v>
      </c>
      <c r="B15" t="str">
        <f>'Financial Calculations'!B16</f>
        <v>Debt</v>
      </c>
      <c r="C15" s="2">
        <f>'Financial Calculations'!E16</f>
        <v>8.985976000895346E-2</v>
      </c>
      <c r="D15" s="3">
        <f>'Financial Calculations'!F16</f>
        <v>0.46999368444614381</v>
      </c>
      <c r="E15" s="2">
        <f>'Financial Calculations'!G16</f>
        <v>5.5397600089534677E-3</v>
      </c>
      <c r="F15" s="3">
        <f>'Financial Calculations'!H16</f>
        <v>0.22</v>
      </c>
      <c r="G15">
        <f>'Financial Calculations'!I16</f>
        <v>3.8</v>
      </c>
      <c r="H15" t="str">
        <f>IF(AND(C15&gt;='Financial Calculations'!$C$25,G15&lt;'Financial Calculations'!$I$25),
"⭐ STAR",
IF(AND(C15&gt;='Financial Calculations'!$C$25,G15&gt;='Financial Calculations'!$I$25),
"🔥 AGGRESSIVE",
IF(AND(C15&lt;'Financial Calculations'!$C$25,G15&lt;'Financial Calculations'!$I$25),
"💙 STEADY",
"⚠️ AVOID")))</f>
        <v>💙 STEADY</v>
      </c>
      <c r="I15">
        <f t="shared" si="0"/>
        <v>15</v>
      </c>
    </row>
    <row r="16" spans="1:9" x14ac:dyDescent="0.3">
      <c r="A16" t="str">
        <f>'Financial Calculations'!A17</f>
        <v>Kotak Bond Short Term</v>
      </c>
      <c r="B16" t="str">
        <f>'Financial Calculations'!B17</f>
        <v>Debt</v>
      </c>
      <c r="C16" s="2">
        <f>'Financial Calculations'!E17</f>
        <v>6.8278353688437932E-2</v>
      </c>
      <c r="D16" s="3">
        <f>'Financial Calculations'!F17</f>
        <v>-0.12833263143317458</v>
      </c>
      <c r="E16" s="2">
        <f>'Financial Calculations'!G17</f>
        <v>-1.2121646311562068E-2</v>
      </c>
      <c r="F16" s="3">
        <f>'Financial Calculations'!H17</f>
        <v>0.15</v>
      </c>
      <c r="G16">
        <f>'Financial Calculations'!I17</f>
        <v>2.9</v>
      </c>
      <c r="H16" t="str">
        <f>IF(AND(C16&gt;='Financial Calculations'!$C$25,G16&lt;'Financial Calculations'!$I$25),
"⭐ STAR",
IF(AND(C16&gt;='Financial Calculations'!$C$25,G16&gt;='Financial Calculations'!$I$25),
"🔥 AGGRESSIVE",
IF(AND(C16&lt;'Financial Calculations'!$C$25,G16&lt;'Financial Calculations'!$I$25),
"💙 STEADY",
"⚠️ AVOID")))</f>
        <v>💙 STEADY</v>
      </c>
      <c r="I16">
        <f t="shared" si="0"/>
        <v>20</v>
      </c>
    </row>
    <row r="17" spans="1:9" x14ac:dyDescent="0.3">
      <c r="A17" t="str">
        <f>'Financial Calculations'!A18</f>
        <v>Axis Short Term Fund</v>
      </c>
      <c r="B17" t="str">
        <f>'Financial Calculations'!B18</f>
        <v>Debt</v>
      </c>
      <c r="C17" s="2">
        <f>'Financial Calculations'!E18</f>
        <v>7.767913782054614E-2</v>
      </c>
      <c r="D17" s="3">
        <f>'Financial Calculations'!F18</f>
        <v>0.22716551282184583</v>
      </c>
      <c r="E17" s="2">
        <f>'Financial Calculations'!G18</f>
        <v>-1.0408621794538581E-3</v>
      </c>
      <c r="F17" s="3">
        <f>'Financial Calculations'!H18</f>
        <v>0.12</v>
      </c>
      <c r="G17">
        <f>'Financial Calculations'!I18</f>
        <v>2.5</v>
      </c>
      <c r="H17" t="str">
        <f>IF(AND(C17&gt;='Financial Calculations'!$C$25,G17&lt;'Financial Calculations'!$I$25),
"⭐ STAR",
IF(AND(C17&gt;='Financial Calculations'!$C$25,G17&gt;='Financial Calculations'!$I$25),
"🔥 AGGRESSIVE",
IF(AND(C17&lt;'Financial Calculations'!$C$25,G17&lt;'Financial Calculations'!$I$25),
"💙 STEADY",
"⚠️ AVOID")))</f>
        <v>💙 STEADY</v>
      </c>
      <c r="I17">
        <f t="shared" si="0"/>
        <v>17</v>
      </c>
    </row>
    <row r="18" spans="1:9" x14ac:dyDescent="0.3">
      <c r="A18" t="str">
        <f>'Financial Calculations'!A19</f>
        <v>ICICI Pru Short Term Fund</v>
      </c>
      <c r="B18" t="str">
        <f>'Financial Calculations'!B19</f>
        <v>Debt</v>
      </c>
      <c r="C18" s="2">
        <f>'Financial Calculations'!E19</f>
        <v>7.1195512500073832E-2</v>
      </c>
      <c r="D18" s="3">
        <f>'Financial Calculations'!F19</f>
        <v>-2.5951209675037501E-2</v>
      </c>
      <c r="E18" s="2">
        <f>'Financial Calculations'!G19</f>
        <v>-9.7644874999261583E-3</v>
      </c>
      <c r="F18" s="3">
        <f>'Financial Calculations'!H19</f>
        <v>0.16</v>
      </c>
      <c r="G18">
        <f>'Financial Calculations'!I19</f>
        <v>3.1</v>
      </c>
      <c r="H18" t="str">
        <f>IF(AND(C18&gt;='Financial Calculations'!$C$25,G18&lt;'Financial Calculations'!$I$25),
"⭐ STAR",
IF(AND(C18&gt;='Financial Calculations'!$C$25,G18&gt;='Financial Calculations'!$I$25),
"🔥 AGGRESSIVE",
IF(AND(C18&lt;'Financial Calculations'!$C$25,G18&lt;'Financial Calculations'!$I$25),
"💙 STEADY",
"⚠️ AVOID")))</f>
        <v>💙 STEADY</v>
      </c>
      <c r="I18">
        <f t="shared" si="0"/>
        <v>18</v>
      </c>
    </row>
    <row r="19" spans="1:9" x14ac:dyDescent="0.3">
      <c r="A19" t="str">
        <f>'Financial Calculations'!A20</f>
        <v>HDFC Hybrid Equity Fund</v>
      </c>
      <c r="B19" t="str">
        <f>'Financial Calculations'!B20</f>
        <v>Hybrid</v>
      </c>
      <c r="C19" s="2">
        <f>'Financial Calculations'!E20</f>
        <v>0.13545333420088368</v>
      </c>
      <c r="D19" s="3">
        <f>'Financial Calculations'!F20</f>
        <v>0.61012821347003543</v>
      </c>
      <c r="E19" s="2">
        <f>'Financial Calculations'!G20</f>
        <v>2.3133334200883676E-2</v>
      </c>
      <c r="F19" s="3">
        <f>'Financial Calculations'!H20</f>
        <v>0.72</v>
      </c>
      <c r="G19">
        <f>'Financial Calculations'!I20</f>
        <v>10.4</v>
      </c>
      <c r="H19" t="str">
        <f>IF(AND(C19&gt;='Financial Calculations'!$C$25,G19&lt;'Financial Calculations'!$I$25),
"⭐ STAR",
IF(AND(C19&gt;='Financial Calculations'!$C$25,G19&gt;='Financial Calculations'!$I$25),
"🔥 AGGRESSIVE",
IF(AND(C19&lt;'Financial Calculations'!$C$25,G19&lt;'Financial Calculations'!$I$25),
"💙 STEADY",
"⚠️ AVOID")))</f>
        <v>💙 STEADY</v>
      </c>
      <c r="I19">
        <f t="shared" si="0"/>
        <v>9</v>
      </c>
    </row>
    <row r="20" spans="1:9" x14ac:dyDescent="0.3">
      <c r="A20" t="str">
        <f>'Financial Calculations'!A21</f>
        <v>SBI Equity Hybrid Fund</v>
      </c>
      <c r="B20" t="str">
        <f>'Financial Calculations'!B21</f>
        <v>Hybrid</v>
      </c>
      <c r="C20" s="2">
        <f>'Financial Calculations'!E21</f>
        <v>0.1261256784428153</v>
      </c>
      <c r="D20" s="3">
        <f>'Financial Calculations'!F21</f>
        <v>0.48326498609656532</v>
      </c>
      <c r="E20" s="2">
        <f>'Financial Calculations'!G21</f>
        <v>1.2125678442815299E-2</v>
      </c>
      <c r="F20" s="3">
        <f>'Financial Calculations'!H21</f>
        <v>0.75</v>
      </c>
      <c r="G20">
        <f>'Financial Calculations'!I21</f>
        <v>11.2</v>
      </c>
      <c r="H20" t="str">
        <f>IF(AND(C20&gt;='Financial Calculations'!$C$25,G20&lt;'Financial Calculations'!$I$25),
"⭐ STAR",
IF(AND(C20&gt;='Financial Calculations'!$C$25,G20&gt;='Financial Calculations'!$I$25),
"🔥 AGGRESSIVE",
IF(AND(C20&lt;'Financial Calculations'!$C$25,G20&lt;'Financial Calculations'!$I$25),
"💙 STEADY",
"⚠️ AVOID")))</f>
        <v>💙 STEADY</v>
      </c>
      <c r="I20">
        <f t="shared" si="0"/>
        <v>11</v>
      </c>
    </row>
    <row r="21" spans="1:9" x14ac:dyDescent="0.3">
      <c r="A21" t="str">
        <f>'Financial Calculations'!A22</f>
        <v>Mirae Asset Hybrid Equity</v>
      </c>
      <c r="B21" t="str">
        <f>'Financial Calculations'!B22</f>
        <v>Hybrid</v>
      </c>
      <c r="C21" s="2">
        <f>'Financial Calculations'!E22</f>
        <v>0.15545587044727061</v>
      </c>
      <c r="D21" s="3">
        <f>'Financial Calculations'!F22</f>
        <v>0.77273954117843147</v>
      </c>
      <c r="E21" s="2">
        <f>'Financial Calculations'!G22</f>
        <v>4.4255870447270612E-2</v>
      </c>
      <c r="F21" s="3">
        <f>'Financial Calculations'!H22</f>
        <v>0.7</v>
      </c>
      <c r="G21">
        <f>'Financial Calculations'!I22</f>
        <v>10.8</v>
      </c>
      <c r="H21" t="str">
        <f>IF(AND(C21&gt;='Financial Calculations'!$C$25,G21&lt;'Financial Calculations'!$I$25),
"⭐ STAR",
IF(AND(C21&gt;='Financial Calculations'!$C$25,G21&gt;='Financial Calculations'!$I$25),
"🔥 AGGRESSIVE",
IF(AND(C21&lt;'Financial Calculations'!$C$25,G21&lt;'Financial Calculations'!$I$25),
"💙 STEADY",
"⚠️ AVOID")))</f>
        <v>💙 STEADY</v>
      </c>
      <c r="I21">
        <f t="shared" si="0"/>
        <v>6</v>
      </c>
    </row>
    <row r="22" spans="1:9" x14ac:dyDescent="0.3">
      <c r="A22" t="str">
        <f>'Financial Calculations'!A23</f>
        <v>Kotak Equity Hybrid Fund</v>
      </c>
      <c r="B22" t="str">
        <f>'Financial Calculations'!B23</f>
        <v>Hybrid</v>
      </c>
      <c r="C22" s="2">
        <f>'Financial Calculations'!E23</f>
        <v>0.13965883208664787</v>
      </c>
      <c r="D22" s="3">
        <f>'Financial Calculations'!F23</f>
        <v>0.66332188320243013</v>
      </c>
      <c r="E22" s="2">
        <f>'Financial Calculations'!G23</f>
        <v>2.9578832086647855E-2</v>
      </c>
      <c r="F22" s="3">
        <f>'Financial Calculations'!H23</f>
        <v>0.68</v>
      </c>
      <c r="G22">
        <f>'Financial Calculations'!I23</f>
        <v>10.199999999999999</v>
      </c>
      <c r="H22" t="str">
        <f>IF(AND(C22&gt;='Financial Calculations'!$C$25,G22&lt;'Financial Calculations'!$I$25),
"⭐ STAR",
IF(AND(C22&gt;='Financial Calculations'!$C$25,G22&gt;='Financial Calculations'!$I$25),
"🔥 AGGRESSIVE",
IF(AND(C22&lt;'Financial Calculations'!$C$25,G22&lt;'Financial Calculations'!$I$25),
"💙 STEADY",
"⚠️ AVOID")))</f>
        <v>💙 STEADY</v>
      </c>
      <c r="I22">
        <f t="shared" si="0"/>
        <v>8</v>
      </c>
    </row>
    <row r="23" spans="1:9" x14ac:dyDescent="0.3">
      <c r="A23" t="str">
        <f>'Financial Calculations'!A24</f>
        <v>Canara Robeco Equity Hybrid</v>
      </c>
      <c r="B23" t="str">
        <f>'Financial Calculations'!B24</f>
        <v>Hybrid</v>
      </c>
      <c r="C23" s="2">
        <f>'Financial Calculations'!E24</f>
        <v>0.12066043609125732</v>
      </c>
      <c r="D23" s="3">
        <f>'Financial Calculations'!F24</f>
        <v>0.42313422688049845</v>
      </c>
      <c r="E23" s="2">
        <f>'Financial Calculations'!G24</f>
        <v>7.2204360912573179E-3</v>
      </c>
      <c r="F23" s="3">
        <f>'Financial Calculations'!H24</f>
        <v>0.74</v>
      </c>
      <c r="G23">
        <f>'Financial Calculations'!I24</f>
        <v>11.5</v>
      </c>
      <c r="H23" t="str">
        <f>IF(AND(C23&gt;='Financial Calculations'!$C$25,G23&lt;'Financial Calculations'!$I$25),
"⭐ STAR",
IF(AND(C23&gt;='Financial Calculations'!$C$25,G23&gt;='Financial Calculations'!$I$25),
"🔥 AGGRESSIVE",
IF(AND(C23&lt;'Financial Calculations'!$C$25,G23&lt;'Financial Calculations'!$I$25),
"💙 STEADY",
"⚠️ AVOID")))</f>
        <v>💙 STEADY</v>
      </c>
      <c r="I23">
        <f t="shared" si="0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7308-33E8-43F3-A0F1-9DAA061F049D}">
  <dimension ref="A3:H29"/>
  <sheetViews>
    <sheetView topLeftCell="A6" workbookViewId="0">
      <selection activeCell="B29" sqref="B29"/>
    </sheetView>
  </sheetViews>
  <sheetFormatPr defaultRowHeight="14.4" x14ac:dyDescent="0.3"/>
  <cols>
    <col min="1" max="1" width="30.6640625" bestFit="1" customWidth="1"/>
    <col min="2" max="2" width="8.33203125" bestFit="1" customWidth="1"/>
    <col min="3" max="3" width="14.44140625" bestFit="1" customWidth="1"/>
    <col min="4" max="4" width="8" bestFit="1" customWidth="1"/>
    <col min="5" max="5" width="22.33203125" bestFit="1" customWidth="1"/>
    <col min="6" max="6" width="11.33203125" bestFit="1" customWidth="1"/>
    <col min="7" max="7" width="18.5546875" bestFit="1" customWidth="1"/>
    <col min="8" max="8" width="9.109375" bestFit="1" customWidth="1"/>
  </cols>
  <sheetData>
    <row r="3" spans="1:8" x14ac:dyDescent="0.3">
      <c r="A3" s="22" t="s">
        <v>1</v>
      </c>
      <c r="B3" s="22" t="s">
        <v>2</v>
      </c>
      <c r="C3" s="22" t="s">
        <v>62</v>
      </c>
      <c r="D3" s="22" t="s">
        <v>51</v>
      </c>
      <c r="E3" s="22" t="s">
        <v>63</v>
      </c>
      <c r="F3" s="22" t="s">
        <v>52</v>
      </c>
      <c r="G3" s="22" t="s">
        <v>64</v>
      </c>
      <c r="H3" s="22" t="s">
        <v>65</v>
      </c>
    </row>
    <row r="4" spans="1:8" x14ac:dyDescent="0.3">
      <c r="A4" t="str">
        <f>'Financial Calculations'!A5</f>
        <v>Mirae Asset Large Cap Fund</v>
      </c>
      <c r="B4" t="str">
        <f>'Financial Calculations'!B5</f>
        <v>Equity</v>
      </c>
      <c r="C4" s="2">
        <f>'Financial Calculations'!J5</f>
        <v>5.4000000000000003E-3</v>
      </c>
      <c r="D4" s="2">
        <f>'Financial Calculations'!E5</f>
        <v>0.16232456733454326</v>
      </c>
      <c r="E4" s="2">
        <f>D4-C4</f>
        <v>0.15692456733454327</v>
      </c>
      <c r="F4" s="3">
        <f>'Financial Calculations'!F5</f>
        <v>0.6360885023559385</v>
      </c>
      <c r="G4" t="str">
        <f>IF(AND(C4&lt;0.007,D4&gt;0.15),"A+ Excellent",
IF(AND(C4&lt;0.009,D4&gt;0.12),"A  Good",
IF(C4&lt;0.012,"B  Average",
"C  Expensive")))</f>
        <v>A+ Excellent</v>
      </c>
      <c r="H4">
        <f>RANK(C4,$C$4:$C$23,1)</f>
        <v>8</v>
      </c>
    </row>
    <row r="5" spans="1:8" x14ac:dyDescent="0.3">
      <c r="A5" t="str">
        <f>'Financial Calculations'!A6</f>
        <v>Axis Bluechip Fund</v>
      </c>
      <c r="B5" t="str">
        <f>'Financial Calculations'!B6</f>
        <v>Equity</v>
      </c>
      <c r="C5" s="2">
        <f>'Financial Calculations'!J6</f>
        <v>5.7999999999999996E-3</v>
      </c>
      <c r="D5" s="2">
        <f>'Financial Calculations'!E6</f>
        <v>8.3045510263880518E-2</v>
      </c>
      <c r="E5" s="2">
        <f t="shared" ref="E5:E23" si="0">D5-C5</f>
        <v>7.7245510263880518E-2</v>
      </c>
      <c r="F5" s="3">
        <f>'Financial Calculations'!F6</f>
        <v>7.986630704179698E-2</v>
      </c>
      <c r="G5" t="str">
        <f t="shared" ref="G5:G23" si="1">IF(AND(C5&lt;0.007,D5&gt;0.15),"A+ Excellent",
IF(AND(C5&lt;0.009,D5&gt;0.12),"A  Good",
IF(C5&lt;0.012,"B  Average",
"C  Expensive")))</f>
        <v>B  Average</v>
      </c>
      <c r="H5">
        <f t="shared" ref="H5:H23" si="2">RANK(C5,$C$4:$C$23,1)</f>
        <v>9</v>
      </c>
    </row>
    <row r="6" spans="1:8" x14ac:dyDescent="0.3">
      <c r="A6" t="str">
        <f>'Financial Calculations'!A7</f>
        <v>HDFC Top 100 Fund</v>
      </c>
      <c r="B6" t="str">
        <f>'Financial Calculations'!B7</f>
        <v>Equity</v>
      </c>
      <c r="C6" s="2">
        <f>'Financial Calculations'!J7</f>
        <v>1.6500000000000001E-2</v>
      </c>
      <c r="D6" s="2">
        <f>'Financial Calculations'!E7</f>
        <v>0.13150726518979994</v>
      </c>
      <c r="E6" s="2">
        <f t="shared" si="0"/>
        <v>0.11500726518979994</v>
      </c>
      <c r="F6" s="3">
        <f>'Financial Calculations'!F7</f>
        <v>0.38096840710499325</v>
      </c>
      <c r="G6" t="str">
        <f t="shared" si="1"/>
        <v>C  Expensive</v>
      </c>
      <c r="H6">
        <f t="shared" si="2"/>
        <v>19</v>
      </c>
    </row>
    <row r="7" spans="1:8" x14ac:dyDescent="0.3">
      <c r="A7" t="str">
        <f>'Financial Calculations'!A8</f>
        <v>Kotak Standard Multicap</v>
      </c>
      <c r="B7" t="str">
        <f>'Financial Calculations'!B8</f>
        <v>Equity</v>
      </c>
      <c r="C7" s="2">
        <f>'Financial Calculations'!J8</f>
        <v>5.7999999999999996E-3</v>
      </c>
      <c r="D7" s="2">
        <f>'Financial Calculations'!E8</f>
        <v>0.11914247955063595</v>
      </c>
      <c r="E7" s="2">
        <f t="shared" si="0"/>
        <v>0.11334247955063595</v>
      </c>
      <c r="F7" s="3">
        <f>'Financial Calculations'!F8</f>
        <v>0.31575672840345587</v>
      </c>
      <c r="G7" t="str">
        <f t="shared" si="1"/>
        <v>B  Average</v>
      </c>
      <c r="H7">
        <f t="shared" si="2"/>
        <v>9</v>
      </c>
    </row>
    <row r="8" spans="1:8" x14ac:dyDescent="0.3">
      <c r="A8" t="str">
        <f>'Financial Calculations'!A9</f>
        <v>SBI Blue Chip Fund</v>
      </c>
      <c r="B8" t="str">
        <f>'Financial Calculations'!B9</f>
        <v>Equity</v>
      </c>
      <c r="C8" s="2">
        <f>'Financial Calculations'!J9</f>
        <v>9.7999999999999997E-3</v>
      </c>
      <c r="D8" s="2">
        <f>'Financial Calculations'!E9</f>
        <v>0.11036243287290848</v>
      </c>
      <c r="E8" s="2">
        <f t="shared" si="0"/>
        <v>0.10056243287290847</v>
      </c>
      <c r="F8" s="3">
        <f>'Financial Calculations'!F9</f>
        <v>0.27168861808008843</v>
      </c>
      <c r="G8" t="str">
        <f t="shared" si="1"/>
        <v>B  Average</v>
      </c>
      <c r="H8">
        <f t="shared" si="2"/>
        <v>17</v>
      </c>
    </row>
    <row r="9" spans="1:8" x14ac:dyDescent="0.3">
      <c r="A9" t="str">
        <f>'Financial Calculations'!A10</f>
        <v>Parag Parikh Flexi Cap</v>
      </c>
      <c r="B9" t="str">
        <f>'Financial Calculations'!B10</f>
        <v>Equity</v>
      </c>
      <c r="C9" s="2">
        <f>'Financial Calculations'!J10</f>
        <v>6.3E-3</v>
      </c>
      <c r="D9" s="2">
        <f>'Financial Calculations'!E10</f>
        <v>0.1449161051748209</v>
      </c>
      <c r="E9" s="2">
        <f t="shared" si="0"/>
        <v>0.1386161051748209</v>
      </c>
      <c r="F9" s="3">
        <f>'Financial Calculations'!F10</f>
        <v>0.53932030454749191</v>
      </c>
      <c r="G9" t="str">
        <f t="shared" si="1"/>
        <v>A  Good</v>
      </c>
      <c r="H9">
        <f t="shared" si="2"/>
        <v>12</v>
      </c>
    </row>
    <row r="10" spans="1:8" x14ac:dyDescent="0.3">
      <c r="A10" t="str">
        <f>'Financial Calculations'!A11</f>
        <v>Nippon India Small Cap</v>
      </c>
      <c r="B10" t="str">
        <f>'Financial Calculations'!B11</f>
        <v>Equity</v>
      </c>
      <c r="C10" s="2">
        <f>'Financial Calculations'!J11</f>
        <v>7.4000000000000003E-3</v>
      </c>
      <c r="D10" s="2">
        <f>'Financial Calculations'!E11</f>
        <v>0.2599479662251778</v>
      </c>
      <c r="E10" s="2">
        <f t="shared" si="0"/>
        <v>0.25254796622517778</v>
      </c>
      <c r="F10" s="3">
        <f>'Financial Calculations'!F11</f>
        <v>0.94875298447843404</v>
      </c>
      <c r="G10" t="str">
        <f t="shared" si="1"/>
        <v>A  Good</v>
      </c>
      <c r="H10">
        <f t="shared" si="2"/>
        <v>14</v>
      </c>
    </row>
    <row r="11" spans="1:8" x14ac:dyDescent="0.3">
      <c r="A11" t="str">
        <f>'Financial Calculations'!A12</f>
        <v>HDFC Mid-Cap Opportunities</v>
      </c>
      <c r="B11" t="str">
        <f>'Financial Calculations'!B12</f>
        <v>Equity</v>
      </c>
      <c r="C11" s="2">
        <f>'Financial Calculations'!J12</f>
        <v>1.6500000000000001E-2</v>
      </c>
      <c r="D11" s="2">
        <f>'Financial Calculations'!E12</f>
        <v>0.19487206875592622</v>
      </c>
      <c r="E11" s="2">
        <f t="shared" si="0"/>
        <v>0.17837206875592621</v>
      </c>
      <c r="F11" s="3">
        <f>'Financial Calculations'!F12</f>
        <v>0.67401025099246414</v>
      </c>
      <c r="G11" t="str">
        <f t="shared" si="1"/>
        <v>C  Expensive</v>
      </c>
      <c r="H11">
        <f t="shared" si="2"/>
        <v>19</v>
      </c>
    </row>
    <row r="12" spans="1:8" x14ac:dyDescent="0.3">
      <c r="A12" t="str">
        <f>'Financial Calculations'!A13</f>
        <v>Aditya Birla PSU Equity</v>
      </c>
      <c r="B12" t="str">
        <f>'Financial Calculations'!B13</f>
        <v>Equity</v>
      </c>
      <c r="C12" s="2">
        <f>'Financial Calculations'!J13</f>
        <v>5.1000000000000004E-3</v>
      </c>
      <c r="D12" s="2">
        <f>'Financial Calculations'!E13</f>
        <v>0.26895930766443543</v>
      </c>
      <c r="E12" s="2">
        <f t="shared" si="0"/>
        <v>0.26385930766443544</v>
      </c>
      <c r="F12" s="3">
        <f>'Financial Calculations'!F13</f>
        <v>0.87889026177793583</v>
      </c>
      <c r="G12" t="str">
        <f t="shared" si="1"/>
        <v>A+ Excellent</v>
      </c>
      <c r="H12">
        <f t="shared" si="2"/>
        <v>7</v>
      </c>
    </row>
    <row r="13" spans="1:8" x14ac:dyDescent="0.3">
      <c r="A13" t="str">
        <f>'Financial Calculations'!A14</f>
        <v>DSP Midcap Fund</v>
      </c>
      <c r="B13" t="str">
        <f>'Financial Calculations'!B14</f>
        <v>Equity</v>
      </c>
      <c r="C13" s="2">
        <f>'Financial Calculations'!J14</f>
        <v>8.5000000000000006E-3</v>
      </c>
      <c r="D13" s="2">
        <f>'Financial Calculations'!E14</f>
        <v>0.1838976787911426</v>
      </c>
      <c r="E13" s="2">
        <f t="shared" si="0"/>
        <v>0.1753976787911426</v>
      </c>
      <c r="F13" s="3">
        <f>'Financial Calculations'!F14</f>
        <v>0.63868538122798291</v>
      </c>
      <c r="G13" t="str">
        <f t="shared" si="1"/>
        <v>A  Good</v>
      </c>
      <c r="H13">
        <f t="shared" si="2"/>
        <v>16</v>
      </c>
    </row>
    <row r="14" spans="1:8" x14ac:dyDescent="0.3">
      <c r="A14" t="str">
        <f>'Financial Calculations'!A15</f>
        <v>SBI Magnum Gilt Fund</v>
      </c>
      <c r="B14" t="str">
        <f>'Financial Calculations'!B15</f>
        <v>Debt</v>
      </c>
      <c r="C14" s="2">
        <f>'Financial Calculations'!J15</f>
        <v>4.5999999999999999E-3</v>
      </c>
      <c r="D14" s="2">
        <f>'Financial Calculations'!E15</f>
        <v>7.0066111031416467E-2</v>
      </c>
      <c r="E14" s="2">
        <f t="shared" si="0"/>
        <v>6.5466111031416474E-2</v>
      </c>
      <c r="F14" s="3">
        <f>'Financial Calculations'!F15</f>
        <v>-4.6044975442464942E-2</v>
      </c>
      <c r="G14" t="str">
        <f t="shared" si="1"/>
        <v>B  Average</v>
      </c>
      <c r="H14">
        <f t="shared" si="2"/>
        <v>5</v>
      </c>
    </row>
    <row r="15" spans="1:8" x14ac:dyDescent="0.3">
      <c r="A15" t="str">
        <f>'Financial Calculations'!A16</f>
        <v>HDFC Corporate Bond Fund</v>
      </c>
      <c r="B15" t="str">
        <f>'Financial Calculations'!B16</f>
        <v>Debt</v>
      </c>
      <c r="C15" s="2">
        <f>'Financial Calculations'!J16</f>
        <v>3.8E-3</v>
      </c>
      <c r="D15" s="2">
        <f>'Financial Calculations'!E16</f>
        <v>8.985976000895346E-2</v>
      </c>
      <c r="E15" s="2">
        <f t="shared" si="0"/>
        <v>8.6059760008953462E-2</v>
      </c>
      <c r="F15" s="3">
        <f>'Financial Calculations'!F16</f>
        <v>0.46999368444614381</v>
      </c>
      <c r="G15" t="str">
        <f t="shared" si="1"/>
        <v>B  Average</v>
      </c>
      <c r="H15">
        <f t="shared" si="2"/>
        <v>2</v>
      </c>
    </row>
    <row r="16" spans="1:8" x14ac:dyDescent="0.3">
      <c r="A16" t="str">
        <f>'Financial Calculations'!A17</f>
        <v>Kotak Bond Short Term</v>
      </c>
      <c r="B16" t="str">
        <f>'Financial Calculations'!B17</f>
        <v>Debt</v>
      </c>
      <c r="C16" s="2">
        <f>'Financial Calculations'!J17</f>
        <v>4.1999999999999997E-3</v>
      </c>
      <c r="D16" s="2">
        <f>'Financial Calculations'!E17</f>
        <v>6.8278353688437932E-2</v>
      </c>
      <c r="E16" s="2">
        <f t="shared" si="0"/>
        <v>6.4078353688437936E-2</v>
      </c>
      <c r="F16" s="3">
        <f>'Financial Calculations'!F17</f>
        <v>-0.12833263143317458</v>
      </c>
      <c r="G16" t="str">
        <f t="shared" si="1"/>
        <v>B  Average</v>
      </c>
      <c r="H16">
        <f t="shared" si="2"/>
        <v>4</v>
      </c>
    </row>
    <row r="17" spans="1:8" x14ac:dyDescent="0.3">
      <c r="A17" t="str">
        <f>'Financial Calculations'!A18</f>
        <v>Axis Short Term Fund</v>
      </c>
      <c r="B17" t="str">
        <f>'Financial Calculations'!B18</f>
        <v>Debt</v>
      </c>
      <c r="C17" s="2">
        <f>'Financial Calculations'!J18</f>
        <v>3.5000000000000001E-3</v>
      </c>
      <c r="D17" s="2">
        <f>'Financial Calculations'!E18</f>
        <v>7.767913782054614E-2</v>
      </c>
      <c r="E17" s="2">
        <f t="shared" si="0"/>
        <v>7.4179137820546137E-2</v>
      </c>
      <c r="F17" s="3">
        <f>'Financial Calculations'!F18</f>
        <v>0.22716551282184583</v>
      </c>
      <c r="G17" t="str">
        <f t="shared" si="1"/>
        <v>B  Average</v>
      </c>
      <c r="H17">
        <f t="shared" si="2"/>
        <v>1</v>
      </c>
    </row>
    <row r="18" spans="1:8" x14ac:dyDescent="0.3">
      <c r="A18" t="str">
        <f>'Financial Calculations'!A19</f>
        <v>ICICI Pru Short Term Fund</v>
      </c>
      <c r="B18" t="str">
        <f>'Financial Calculations'!B19</f>
        <v>Debt</v>
      </c>
      <c r="C18" s="2">
        <f>'Financial Calculations'!J19</f>
        <v>4.1000000000000003E-3</v>
      </c>
      <c r="D18" s="2">
        <f>'Financial Calculations'!E19</f>
        <v>7.1195512500073832E-2</v>
      </c>
      <c r="E18" s="2">
        <f t="shared" si="0"/>
        <v>6.7095512500073826E-2</v>
      </c>
      <c r="F18" s="3">
        <f>'Financial Calculations'!F19</f>
        <v>-2.5951209675037501E-2</v>
      </c>
      <c r="G18" t="str">
        <f t="shared" si="1"/>
        <v>B  Average</v>
      </c>
      <c r="H18">
        <f t="shared" si="2"/>
        <v>3</v>
      </c>
    </row>
    <row r="19" spans="1:8" x14ac:dyDescent="0.3">
      <c r="A19" t="str">
        <f>'Financial Calculations'!A20</f>
        <v>HDFC Hybrid Equity Fund</v>
      </c>
      <c r="B19" t="str">
        <f>'Financial Calculations'!B20</f>
        <v>Hybrid</v>
      </c>
      <c r="C19" s="2">
        <f>'Financial Calculations'!J20</f>
        <v>1.0800000000000001E-2</v>
      </c>
      <c r="D19" s="2">
        <f>'Financial Calculations'!E20</f>
        <v>0.13545333420088368</v>
      </c>
      <c r="E19" s="2">
        <f t="shared" si="0"/>
        <v>0.12465333420088368</v>
      </c>
      <c r="F19" s="3">
        <f>'Financial Calculations'!F20</f>
        <v>0.61012821347003543</v>
      </c>
      <c r="G19" t="str">
        <f t="shared" si="1"/>
        <v>B  Average</v>
      </c>
      <c r="H19">
        <f t="shared" si="2"/>
        <v>18</v>
      </c>
    </row>
    <row r="20" spans="1:8" x14ac:dyDescent="0.3">
      <c r="A20" t="str">
        <f>'Financial Calculations'!A21</f>
        <v>SBI Equity Hybrid Fund</v>
      </c>
      <c r="B20" t="str">
        <f>'Financial Calculations'!B21</f>
        <v>Hybrid</v>
      </c>
      <c r="C20" s="2">
        <f>'Financial Calculations'!J21</f>
        <v>8.2000000000000007E-3</v>
      </c>
      <c r="D20" s="2">
        <f>'Financial Calculations'!E21</f>
        <v>0.1261256784428153</v>
      </c>
      <c r="E20" s="2">
        <f t="shared" si="0"/>
        <v>0.1179256784428153</v>
      </c>
      <c r="F20" s="3">
        <f>'Financial Calculations'!F21</f>
        <v>0.48326498609656532</v>
      </c>
      <c r="G20" t="str">
        <f t="shared" si="1"/>
        <v>A  Good</v>
      </c>
      <c r="H20">
        <f t="shared" si="2"/>
        <v>15</v>
      </c>
    </row>
    <row r="21" spans="1:8" x14ac:dyDescent="0.3">
      <c r="A21" t="str">
        <f>'Financial Calculations'!A22</f>
        <v>Mirae Asset Hybrid Equity</v>
      </c>
      <c r="B21" t="str">
        <f>'Financial Calculations'!B22</f>
        <v>Hybrid</v>
      </c>
      <c r="C21" s="2">
        <f>'Financial Calculations'!J22</f>
        <v>4.5999999999999999E-3</v>
      </c>
      <c r="D21" s="2">
        <f>'Financial Calculations'!E22</f>
        <v>0.15545587044727061</v>
      </c>
      <c r="E21" s="2">
        <f t="shared" si="0"/>
        <v>0.15085587044727061</v>
      </c>
      <c r="F21" s="3">
        <f>'Financial Calculations'!F22</f>
        <v>0.77273954117843147</v>
      </c>
      <c r="G21" t="str">
        <f t="shared" si="1"/>
        <v>A+ Excellent</v>
      </c>
      <c r="H21">
        <f t="shared" si="2"/>
        <v>5</v>
      </c>
    </row>
    <row r="22" spans="1:8" x14ac:dyDescent="0.3">
      <c r="A22" t="str">
        <f>'Financial Calculations'!A23</f>
        <v>Kotak Equity Hybrid Fund</v>
      </c>
      <c r="B22" t="str">
        <f>'Financial Calculations'!B23</f>
        <v>Hybrid</v>
      </c>
      <c r="C22" s="2">
        <f>'Financial Calculations'!J23</f>
        <v>5.7999999999999996E-3</v>
      </c>
      <c r="D22" s="2">
        <f>'Financial Calculations'!E23</f>
        <v>0.13965883208664787</v>
      </c>
      <c r="E22" s="2">
        <f t="shared" si="0"/>
        <v>0.13385883208664787</v>
      </c>
      <c r="F22" s="3">
        <f>'Financial Calculations'!F23</f>
        <v>0.66332188320243013</v>
      </c>
      <c r="G22" t="str">
        <f t="shared" si="1"/>
        <v>A  Good</v>
      </c>
      <c r="H22">
        <f t="shared" si="2"/>
        <v>9</v>
      </c>
    </row>
    <row r="23" spans="1:8" x14ac:dyDescent="0.3">
      <c r="A23" t="str">
        <f>'Financial Calculations'!A24</f>
        <v>Canara Robeco Equity Hybrid</v>
      </c>
      <c r="B23" t="str">
        <f>'Financial Calculations'!B24</f>
        <v>Hybrid</v>
      </c>
      <c r="C23" s="2">
        <f>'Financial Calculations'!J24</f>
        <v>6.6E-3</v>
      </c>
      <c r="D23" s="2">
        <f>'Financial Calculations'!E24</f>
        <v>0.12066043609125732</v>
      </c>
      <c r="E23" s="2">
        <f t="shared" si="0"/>
        <v>0.11406043609125732</v>
      </c>
      <c r="F23" s="3">
        <f>'Financial Calculations'!F24</f>
        <v>0.42313422688049845</v>
      </c>
      <c r="G23" t="str">
        <f t="shared" si="1"/>
        <v>A  Good</v>
      </c>
      <c r="H23">
        <f t="shared" si="2"/>
        <v>13</v>
      </c>
    </row>
    <row r="26" spans="1:8" x14ac:dyDescent="0.3">
      <c r="A26" t="s">
        <v>66</v>
      </c>
    </row>
    <row r="27" spans="1:8" x14ac:dyDescent="0.3">
      <c r="A27" t="s">
        <v>67</v>
      </c>
      <c r="B27">
        <f>AVERAGEIF($B$4:$B$23,"Equity",$D$4:$D$23)</f>
        <v>0.16589753818232711</v>
      </c>
    </row>
    <row r="28" spans="1:8" x14ac:dyDescent="0.3">
      <c r="A28" t="s">
        <v>68</v>
      </c>
      <c r="B28">
        <f>AVERAGEIF($B$4:$B$23,"Debt",$D$4:$D$23)</f>
        <v>7.5415775009885569E-2</v>
      </c>
    </row>
    <row r="29" spans="1:8" x14ac:dyDescent="0.3">
      <c r="A29" t="s">
        <v>69</v>
      </c>
      <c r="B29">
        <f>AVERAGEIF($B$4:$B$23,"Hybrid",$D$4:$D$23)</f>
        <v>0.13547083025377496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E098-AE98-4E90-97E3-4329972FF42A}">
  <dimension ref="A1:V6"/>
  <sheetViews>
    <sheetView zoomScaleNormal="100" workbookViewId="0">
      <selection sqref="A1:V1"/>
    </sheetView>
  </sheetViews>
  <sheetFormatPr defaultRowHeight="14.4" x14ac:dyDescent="0.3"/>
  <cols>
    <col min="1" max="1" width="23.5546875" bestFit="1" customWidth="1"/>
  </cols>
  <sheetData>
    <row r="1" spans="1:22" x14ac:dyDescent="0.3">
      <c r="A1" s="22" t="s">
        <v>92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74</v>
      </c>
      <c r="G1" s="22" t="s">
        <v>75</v>
      </c>
      <c r="H1" s="22" t="s">
        <v>76</v>
      </c>
      <c r="I1" s="22" t="s">
        <v>77</v>
      </c>
      <c r="J1" s="22" t="s">
        <v>78</v>
      </c>
      <c r="K1" s="22" t="s">
        <v>79</v>
      </c>
      <c r="L1" s="22" t="s">
        <v>80</v>
      </c>
      <c r="M1" s="22" t="s">
        <v>81</v>
      </c>
      <c r="N1" s="22" t="s">
        <v>82</v>
      </c>
      <c r="O1" s="22" t="s">
        <v>83</v>
      </c>
      <c r="P1" s="22" t="s">
        <v>84</v>
      </c>
      <c r="Q1" s="22" t="s">
        <v>85</v>
      </c>
      <c r="R1" s="22" t="s">
        <v>86</v>
      </c>
      <c r="S1" s="22" t="s">
        <v>88</v>
      </c>
      <c r="T1" s="22" t="s">
        <v>87</v>
      </c>
      <c r="U1" s="22" t="s">
        <v>91</v>
      </c>
      <c r="V1" s="22" t="s">
        <v>89</v>
      </c>
    </row>
    <row r="2" spans="1:22" x14ac:dyDescent="0.3">
      <c r="A2" t="s">
        <v>23</v>
      </c>
      <c r="B2">
        <v>26.4</v>
      </c>
      <c r="C2">
        <v>19</v>
      </c>
      <c r="D2">
        <v>23.2</v>
      </c>
      <c r="E2">
        <v>25.9</v>
      </c>
      <c r="F2">
        <v>28</v>
      </c>
      <c r="G2">
        <v>30.6</v>
      </c>
      <c r="H2">
        <v>33.1</v>
      </c>
      <c r="I2">
        <v>36.4</v>
      </c>
      <c r="J2">
        <v>33.5</v>
      </c>
      <c r="K2">
        <v>31.4</v>
      </c>
      <c r="L2">
        <v>33.200000000000003</v>
      </c>
      <c r="M2">
        <v>35.200000000000003</v>
      </c>
      <c r="N2">
        <v>37.700000000000003</v>
      </c>
      <c r="O2">
        <v>40.4</v>
      </c>
      <c r="P2">
        <v>43.5</v>
      </c>
      <c r="Q2">
        <v>47</v>
      </c>
      <c r="R2">
        <v>49.6</v>
      </c>
      <c r="S2">
        <v>54.1</v>
      </c>
      <c r="T2">
        <v>57.4</v>
      </c>
      <c r="U2">
        <v>60.2</v>
      </c>
      <c r="V2">
        <v>84.2</v>
      </c>
    </row>
    <row r="3" spans="1:22" x14ac:dyDescent="0.3">
      <c r="A3" t="s">
        <v>25</v>
      </c>
      <c r="B3">
        <v>18.600000000000001</v>
      </c>
      <c r="C3">
        <v>13.4</v>
      </c>
      <c r="D3">
        <v>16.399999999999999</v>
      </c>
      <c r="E3">
        <v>18.2</v>
      </c>
      <c r="F3">
        <v>19.600000000000001</v>
      </c>
      <c r="G3">
        <v>21.5</v>
      </c>
      <c r="H3">
        <v>23.2</v>
      </c>
      <c r="I3">
        <v>25.6</v>
      </c>
      <c r="J3">
        <v>23.5</v>
      </c>
      <c r="K3">
        <v>22</v>
      </c>
      <c r="L3">
        <v>23.3</v>
      </c>
      <c r="M3">
        <v>24.6</v>
      </c>
      <c r="N3">
        <v>26.4</v>
      </c>
      <c r="O3">
        <v>28.2</v>
      </c>
      <c r="P3">
        <v>30.5</v>
      </c>
      <c r="Q3">
        <v>33</v>
      </c>
      <c r="R3">
        <v>34.700000000000003</v>
      </c>
      <c r="S3">
        <v>37.9</v>
      </c>
      <c r="T3">
        <v>40.200000000000003</v>
      </c>
      <c r="U3">
        <v>42.2</v>
      </c>
      <c r="V3">
        <v>112.4</v>
      </c>
    </row>
    <row r="4" spans="1:22" x14ac:dyDescent="0.3">
      <c r="A4" t="s">
        <v>90</v>
      </c>
      <c r="B4">
        <v>42.6</v>
      </c>
      <c r="C4">
        <v>30.7</v>
      </c>
      <c r="D4">
        <v>37.5</v>
      </c>
      <c r="E4">
        <v>41.7</v>
      </c>
      <c r="F4">
        <v>44.9</v>
      </c>
      <c r="G4">
        <v>49.1</v>
      </c>
      <c r="H4">
        <v>53.1</v>
      </c>
      <c r="I4">
        <v>58.5</v>
      </c>
      <c r="J4">
        <v>53.7</v>
      </c>
      <c r="K4">
        <v>50.4</v>
      </c>
      <c r="L4">
        <v>53.3</v>
      </c>
      <c r="M4">
        <v>56.4</v>
      </c>
      <c r="N4">
        <v>60.4</v>
      </c>
      <c r="O4">
        <v>64.7</v>
      </c>
      <c r="P4">
        <v>69.8</v>
      </c>
      <c r="Q4">
        <v>75.400000000000006</v>
      </c>
      <c r="R4">
        <v>79.5</v>
      </c>
      <c r="S4">
        <v>86.7</v>
      </c>
      <c r="T4">
        <v>92</v>
      </c>
      <c r="U4">
        <v>96.5</v>
      </c>
      <c r="V4">
        <v>80.400000000000006</v>
      </c>
    </row>
    <row r="5" spans="1:22" x14ac:dyDescent="0.3">
      <c r="A5" t="s">
        <v>32</v>
      </c>
      <c r="B5">
        <v>40.200000000000003</v>
      </c>
      <c r="C5">
        <v>42.1</v>
      </c>
      <c r="D5">
        <v>43.5</v>
      </c>
      <c r="E5">
        <v>44.2</v>
      </c>
      <c r="F5">
        <v>44.9</v>
      </c>
      <c r="G5">
        <v>45.4</v>
      </c>
      <c r="H5">
        <v>46.1</v>
      </c>
      <c r="I5">
        <v>46.8</v>
      </c>
      <c r="J5">
        <v>47.3</v>
      </c>
      <c r="K5">
        <v>47.6</v>
      </c>
      <c r="L5">
        <v>48.2</v>
      </c>
      <c r="M5">
        <v>48.8</v>
      </c>
      <c r="N5">
        <v>49.4</v>
      </c>
      <c r="O5">
        <v>50.1</v>
      </c>
      <c r="P5">
        <v>50.8</v>
      </c>
      <c r="Q5">
        <v>51.6</v>
      </c>
      <c r="R5">
        <v>52.3</v>
      </c>
      <c r="S5">
        <v>53.4</v>
      </c>
      <c r="T5">
        <v>54.1</v>
      </c>
      <c r="U5">
        <v>55.2</v>
      </c>
      <c r="V5">
        <v>56.4</v>
      </c>
    </row>
    <row r="6" spans="1:22" x14ac:dyDescent="0.3">
      <c r="A6" t="s">
        <v>34</v>
      </c>
      <c r="B6">
        <v>18.600000000000001</v>
      </c>
      <c r="C6">
        <v>19.2</v>
      </c>
      <c r="D6">
        <v>19.8</v>
      </c>
      <c r="E6">
        <v>20.2</v>
      </c>
      <c r="F6">
        <v>20.6</v>
      </c>
      <c r="G6">
        <v>21</v>
      </c>
      <c r="H6">
        <v>21.4</v>
      </c>
      <c r="I6">
        <v>21.9</v>
      </c>
      <c r="J6">
        <v>22.2</v>
      </c>
      <c r="K6">
        <v>22.4</v>
      </c>
      <c r="L6">
        <v>22.7</v>
      </c>
      <c r="M6">
        <v>23</v>
      </c>
      <c r="N6">
        <v>23.4</v>
      </c>
      <c r="O6">
        <v>23.8</v>
      </c>
      <c r="P6">
        <v>24.2</v>
      </c>
      <c r="Q6">
        <v>24.7</v>
      </c>
      <c r="R6">
        <v>25.1</v>
      </c>
      <c r="S6">
        <v>25.8</v>
      </c>
      <c r="T6">
        <v>26.3</v>
      </c>
      <c r="U6">
        <v>27.1</v>
      </c>
      <c r="V6">
        <v>28.6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Fund Master Data</vt:lpstr>
      <vt:lpstr>Financial Calculations</vt:lpstr>
      <vt:lpstr>Risk-Return Analysis</vt:lpstr>
      <vt:lpstr>Expense Ratio Analysis</vt:lpstr>
      <vt:lpstr>NAV Trend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nani</dc:creator>
  <cp:lastModifiedBy>naveen nani</cp:lastModifiedBy>
  <dcterms:created xsi:type="dcterms:W3CDTF">2026-02-17T16:26:16Z</dcterms:created>
  <dcterms:modified xsi:type="dcterms:W3CDTF">2026-02-18T20:30:20Z</dcterms:modified>
</cp:coreProperties>
</file>